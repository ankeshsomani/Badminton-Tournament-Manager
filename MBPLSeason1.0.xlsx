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atings - Boys"/>
    <sheet r:id="rId2" sheetId="2" name="Rating Girls"/>
    <sheet r:id="rId3" sheetId="3" name="Match Format"/>
  </sheets>
  <calcPr fullCalcOnLoad="1"/>
</workbook>
</file>

<file path=xl/sharedStrings.xml><?xml version="1.0" encoding="utf-8"?>
<sst xmlns="http://schemas.openxmlformats.org/spreadsheetml/2006/main" count="217" uniqueCount="154">
  <si>
    <t>Date</t>
  </si>
  <si>
    <t>Court Name</t>
  </si>
  <si>
    <t>Group Leader Name</t>
  </si>
  <si>
    <t>Overall Rating for day</t>
  </si>
  <si>
    <t>S.No.</t>
  </si>
  <si>
    <t>Player Name</t>
  </si>
  <si>
    <t>M1 ( 5 Points)</t>
  </si>
  <si>
    <t>M2 (5 Points)</t>
  </si>
  <si>
    <t>M3 (10 Points)</t>
  </si>
  <si>
    <t>M4 (5/10 Points)</t>
  </si>
  <si>
    <t>M5(5/15 Points)</t>
  </si>
  <si>
    <t>Green</t>
  </si>
  <si>
    <t>Blue</t>
  </si>
  <si>
    <t>Yellow</t>
  </si>
  <si>
    <t>Red</t>
  </si>
  <si>
    <t>Vishnu</t>
  </si>
  <si>
    <t>Ankesh</t>
  </si>
  <si>
    <t>Aseem</t>
  </si>
  <si>
    <t>Amar</t>
  </si>
  <si>
    <t>Sarvesh</t>
  </si>
  <si>
    <t>Vivek</t>
  </si>
  <si>
    <t>Rohit</t>
  </si>
  <si>
    <t>Pushkar</t>
  </si>
  <si>
    <t>Match Details</t>
  </si>
  <si>
    <t>Player Details</t>
  </si>
  <si>
    <t>Match Time</t>
  </si>
  <si>
    <t>Winner</t>
  </si>
  <si>
    <t>Runner up</t>
  </si>
  <si>
    <t>Match Score</t>
  </si>
  <si>
    <t>Match Type</t>
  </si>
  <si>
    <t>M1 : 1-4 v/s 2-3</t>
  </si>
  <si>
    <t>(Vishnu &amp; Amar)  vs ( Ankesh &amp; Aseem)</t>
  </si>
  <si>
    <t>Vishnu &amp; Amar</t>
  </si>
  <si>
    <t>15-9</t>
  </si>
  <si>
    <t>M2 : 5-8 v/s 6-7</t>
  </si>
  <si>
    <t>(Sarvesh &amp; Pushkar) vs (Vivek - Rohit)</t>
  </si>
  <si>
    <t>Sarvesh &amp; Pushkar</t>
  </si>
  <si>
    <t>15-11</t>
  </si>
  <si>
    <t>M4 : 1-8 v/s 2-7</t>
  </si>
  <si>
    <t>(Vishnu &amp; Pushkar) vs (Ankesh - Rohit)</t>
  </si>
  <si>
    <t>Vishnu &amp; Pushkar</t>
  </si>
  <si>
    <t>M3 : 3-6 v/s 4-5</t>
  </si>
  <si>
    <t>(Aseem &amp; Vivek) vs (Amar - Sarvesh)</t>
  </si>
  <si>
    <t>Amar &amp; Sarvesh</t>
  </si>
  <si>
    <t>15-7</t>
  </si>
  <si>
    <t>M5 : 1 v/s 2</t>
  </si>
  <si>
    <t>(Vishnu) vs (Ankesh)</t>
  </si>
  <si>
    <t>11-8</t>
  </si>
  <si>
    <t>M6 : 3 v/s 4</t>
  </si>
  <si>
    <t>(Aseem) vs (Amar)</t>
  </si>
  <si>
    <t>12-10</t>
  </si>
  <si>
    <t>M7 : 5 v/s 6</t>
  </si>
  <si>
    <t>(Sarvesh) vs (Vivek)</t>
  </si>
  <si>
    <t>M8 : 7 v/s 8</t>
  </si>
  <si>
    <t>(Rohit) vs (Pushkar)</t>
  </si>
  <si>
    <t>11-9</t>
  </si>
  <si>
    <t>M5 : 1-3 v/s 2-4</t>
  </si>
  <si>
    <t>(Vishnu &amp; Aseem) vs (Ankesh - Amar)</t>
  </si>
  <si>
    <t>Vishnu &amp; Aseem</t>
  </si>
  <si>
    <t>M6 : 5-7 v/s 6-8</t>
  </si>
  <si>
    <t>(Sarvesh &amp; Rohit) vs (Vivek - Pushkar)</t>
  </si>
  <si>
    <t>Vivek &amp; Pushkar</t>
  </si>
  <si>
    <t>M7 : 1-2 v/s 3-4</t>
  </si>
  <si>
    <t>(Vishnu &amp; Ankesh) vs (Aseem &amp; Amar)</t>
  </si>
  <si>
    <t>Vishnu &amp; Ankesh</t>
  </si>
  <si>
    <t>15-12</t>
  </si>
  <si>
    <t>M8 : 5-6 v/s 7-8</t>
  </si>
  <si>
    <t>(Sarvesh &amp; Vivek) vs (Rohit &amp; Pushkar)</t>
  </si>
  <si>
    <t>Rohit &amp; Pushkar</t>
  </si>
  <si>
    <t>If Lower Rating players loose, it will be -5 BUT if win They will get +10. If Higher Cateogry Players win , They would get +5 but incase loose it will be -10</t>
  </si>
  <si>
    <t xml:space="preserve"> If Lower Rating players loose, it will be -5 BUT if win They will get +15. If Higher Cateogry Players win , They would get +5 but incase loose it will be -15</t>
  </si>
  <si>
    <t>Rank</t>
  </si>
  <si>
    <t>Rating Points</t>
  </si>
  <si>
    <t>Initial Rating</t>
  </si>
  <si>
    <t>July</t>
  </si>
  <si>
    <t>Aug</t>
  </si>
  <si>
    <t xml:space="preserve">Sep </t>
  </si>
  <si>
    <t xml:space="preserve">Oct </t>
  </si>
  <si>
    <t>Nov</t>
  </si>
  <si>
    <t>Dec</t>
  </si>
  <si>
    <t>Jan</t>
  </si>
  <si>
    <t>Feb</t>
  </si>
  <si>
    <t>Mar</t>
  </si>
  <si>
    <t>Apr</t>
  </si>
  <si>
    <t>May</t>
  </si>
  <si>
    <t>Jun</t>
  </si>
  <si>
    <t xml:space="preserve">Shraddha </t>
  </si>
  <si>
    <t>Nitu Samdani</t>
  </si>
  <si>
    <t>Nidhi Shah</t>
  </si>
  <si>
    <t>Asmita Maru</t>
  </si>
  <si>
    <t>Palak Rathi</t>
  </si>
  <si>
    <t>Shikha Mohta</t>
  </si>
  <si>
    <t>Trupti Pallod</t>
  </si>
  <si>
    <t>Darshana rathi</t>
  </si>
  <si>
    <t>Nidhi Malpani</t>
  </si>
  <si>
    <t>Pratiksha Sarda</t>
  </si>
  <si>
    <t>Uncapped</t>
  </si>
  <si>
    <t>Megha Maru</t>
  </si>
  <si>
    <t>Shraddha Mundada</t>
  </si>
  <si>
    <t>Shraddha Malu</t>
  </si>
  <si>
    <t>Rupa Taori</t>
  </si>
  <si>
    <t>Sneha Rathi</t>
  </si>
  <si>
    <t>Amruta Rathi</t>
  </si>
  <si>
    <t>Mihika Modani</t>
  </si>
  <si>
    <t>Sharda Jhanwar</t>
  </si>
  <si>
    <t>Shweta Rathi</t>
  </si>
  <si>
    <t>Priyul Maheshwari</t>
  </si>
  <si>
    <t>Latest Rating Points</t>
  </si>
  <si>
    <t>Current Rating</t>
  </si>
  <si>
    <t>Joining Date</t>
  </si>
  <si>
    <t>Vishnu Sarda</t>
  </si>
  <si>
    <t>Amol Pallod</t>
  </si>
  <si>
    <t>Ankesh Somani</t>
  </si>
  <si>
    <t>Mahesh Rathi</t>
  </si>
  <si>
    <t>Aseem Maru</t>
  </si>
  <si>
    <t>Amar Toshniwal</t>
  </si>
  <si>
    <t>Sarveshwar Lakhotiya</t>
  </si>
  <si>
    <t>Mahesh Loya</t>
  </si>
  <si>
    <t>Mayur Toshniwal</t>
  </si>
  <si>
    <t>Vivek Bajaj</t>
  </si>
  <si>
    <t>Rohit Mohta</t>
  </si>
  <si>
    <t>Pushkar Bang</t>
  </si>
  <si>
    <t>Bhushan Laddha</t>
  </si>
  <si>
    <t>Nikunj Mohta</t>
  </si>
  <si>
    <t>Prem Sarda</t>
  </si>
  <si>
    <t>Arun Modani</t>
  </si>
  <si>
    <t>Bharat Jhanwar</t>
  </si>
  <si>
    <t>Ronak Somani</t>
  </si>
  <si>
    <t>Raj Mohta</t>
  </si>
  <si>
    <t>Pankaj Rathi</t>
  </si>
  <si>
    <t>Luvya Jhanwar</t>
  </si>
  <si>
    <t>Lakshya Bahethi</t>
  </si>
  <si>
    <t>Hrishikesh Malu</t>
  </si>
  <si>
    <t>Ankit Mantri</t>
  </si>
  <si>
    <t>Ramanuj Maheshwari</t>
  </si>
  <si>
    <t>Prakhar Parwal</t>
  </si>
  <si>
    <t>Abhishek Rathi</t>
  </si>
  <si>
    <t>Mahesh Jaju</t>
  </si>
  <si>
    <t>Pawarn Falor</t>
  </si>
  <si>
    <t>Paresh Taori</t>
  </si>
  <si>
    <t>Nilesh Samdani</t>
  </si>
  <si>
    <t>Mayank Maheshwari</t>
  </si>
  <si>
    <t>Ashish Maheshwari</t>
  </si>
  <si>
    <t>Kiran Jhanwar</t>
  </si>
  <si>
    <t>Aditya Kothari</t>
  </si>
  <si>
    <t>Nischay Rathi</t>
  </si>
  <si>
    <t>Sankalp Rathi</t>
  </si>
  <si>
    <t>Somesh Bhutada</t>
  </si>
  <si>
    <t>Pushkar Mundada</t>
  </si>
  <si>
    <t>Uday Dangra</t>
  </si>
  <si>
    <t>Ramesh Ji Soni</t>
  </si>
  <si>
    <t>Niket Rathi</t>
  </si>
  <si>
    <t>Shrikant Porwal</t>
  </si>
  <si>
    <t>Shraddha Jaju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</si>
</sst>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-mmm-yy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ee0000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20" applyNumberFormat="1" borderId="1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20" applyNumberFormat="1" borderId="0" fontId="0" fillId="0" applyAlignment="1">
      <alignment horizontal="center"/>
    </xf>
    <xf xfId="0" numFmtId="3" applyNumberFormat="1" borderId="4" applyBorder="1" fontId="1" applyFont="1" fillId="0" applyAlignment="1">
      <alignment horizontal="left"/>
    </xf>
    <xf xfId="0" numFmtId="3" applyNumberFormat="1" borderId="5" applyBorder="1" fontId="1" applyFont="1" fillId="0" applyAlignment="1">
      <alignment horizontal="left"/>
    </xf>
    <xf xfId="0" numFmtId="0" borderId="6" applyBorder="1" fontId="1" applyFont="1" fillId="0" applyAlignment="1">
      <alignment horizontal="left"/>
    </xf>
    <xf xfId="0" numFmtId="20" applyNumberFormat="1" borderId="6" applyBorder="1" fontId="1" applyFont="1" fillId="2" applyFill="1" applyAlignment="1">
      <alignment horizontal="left"/>
    </xf>
    <xf xfId="0" numFmtId="3" applyNumberFormat="1" borderId="6" applyBorder="1" fontId="1" applyFont="1" fillId="2" applyFill="1" applyAlignment="1">
      <alignment horizontal="left"/>
    </xf>
    <xf xfId="0" numFmtId="3" applyNumberFormat="1" borderId="6" applyBorder="1" fontId="1" applyFont="1" fillId="3" applyFill="1" applyAlignment="1">
      <alignment horizontal="left"/>
    </xf>
    <xf xfId="0" numFmtId="3" applyNumberFormat="1" borderId="6" applyBorder="1" fontId="1" applyFont="1" fillId="4" applyFill="1" applyAlignment="1">
      <alignment horizontal="left"/>
    </xf>
    <xf xfId="0" numFmtId="3" applyNumberFormat="1" borderId="7" applyBorder="1" fontId="1" applyFont="1" fillId="5" applyFill="1" applyAlignment="1">
      <alignment horizontal="left"/>
    </xf>
    <xf xfId="0" numFmtId="3" applyNumberFormat="1" borderId="8" applyBorder="1" fontId="1" applyFont="1" fillId="0" applyAlignment="1">
      <alignment horizontal="left"/>
    </xf>
    <xf xfId="0" numFmtId="0" borderId="9" applyBorder="1" fontId="1" applyFont="1" fillId="0" applyAlignment="1">
      <alignment horizontal="left"/>
    </xf>
    <xf xfId="0" numFmtId="20" applyNumberFormat="1" borderId="10" applyBorder="1" fontId="1" applyFont="1" fillId="2" applyFill="1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3" applyNumberFormat="1" borderId="10" applyBorder="1" fontId="1" applyFont="1" fillId="3" applyFill="1" applyAlignment="1">
      <alignment horizontal="left"/>
    </xf>
    <xf xfId="0" numFmtId="3" applyNumberFormat="1" borderId="10" applyBorder="1" fontId="1" applyFont="1" fillId="4" applyFill="1" applyAlignment="1">
      <alignment horizontal="left"/>
    </xf>
    <xf xfId="0" numFmtId="3" applyNumberFormat="1" borderId="11" applyBorder="1" fontId="1" applyFont="1" fillId="5" applyFill="1" applyAlignment="1">
      <alignment horizontal="left"/>
    </xf>
    <xf xfId="0" numFmtId="3" applyNumberFormat="1" borderId="12" applyBorder="1" fontId="2" applyFont="1" fillId="0" applyAlignment="1">
      <alignment horizontal="right"/>
    </xf>
    <xf xfId="0" numFmtId="0" borderId="13" applyBorder="1" fontId="2" applyFont="1" fillId="0" applyAlignment="1">
      <alignment horizontal="left"/>
    </xf>
    <xf xfId="0" numFmtId="3" applyNumberFormat="1" borderId="13" applyBorder="1" fontId="2" applyFont="1" fillId="0" applyAlignment="1">
      <alignment horizontal="right"/>
    </xf>
    <xf xfId="0" numFmtId="3" applyNumberFormat="1" borderId="14" applyBorder="1" fontId="2" applyFont="1" fillId="0" applyAlignment="1">
      <alignment horizontal="right"/>
    </xf>
    <xf xfId="0" numFmtId="3" applyNumberFormat="1" borderId="4" applyBorder="1" fontId="1" applyFont="1" fillId="0" applyAlignment="1">
      <alignment horizontal="right"/>
    </xf>
    <xf xfId="0" numFmtId="3" applyNumberFormat="1" borderId="15" applyBorder="1" fontId="2" applyFont="1" fillId="0" applyAlignment="1">
      <alignment horizontal="right"/>
    </xf>
    <xf xfId="0" numFmtId="0" borderId="16" applyBorder="1" fontId="2" applyFont="1" fillId="0" applyAlignment="1">
      <alignment horizontal="left"/>
    </xf>
    <xf xfId="0" numFmtId="3" applyNumberFormat="1" borderId="16" applyBorder="1" fontId="2" applyFont="1" fillId="0" applyAlignment="1">
      <alignment horizontal="right"/>
    </xf>
    <xf xfId="0" numFmtId="3" applyNumberFormat="1" borderId="17" applyBorder="1" fontId="2" applyFont="1" fillId="0" applyAlignment="1">
      <alignment horizontal="right"/>
    </xf>
    <xf xfId="0" numFmtId="20" applyNumberFormat="1" borderId="6" applyBorder="1" fontId="1" applyFont="1" fillId="0" applyAlignment="1">
      <alignment horizontal="left"/>
    </xf>
    <xf xfId="0" numFmtId="3" applyNumberFormat="1" borderId="6" applyBorder="1" fontId="1" applyFont="1" fillId="0" applyAlignment="1">
      <alignment horizontal="left"/>
    </xf>
    <xf xfId="0" numFmtId="3" applyNumberFormat="1" borderId="7" applyBorder="1" fontId="2" applyFont="1" fillId="0" applyAlignment="1">
      <alignment horizontal="left"/>
    </xf>
    <xf xfId="0" numFmtId="3" applyNumberFormat="1" borderId="18" applyBorder="1" fontId="1" applyFont="1" fillId="2" applyFill="1" applyAlignment="1">
      <alignment horizontal="left"/>
    </xf>
    <xf xfId="0" numFmtId="0" borderId="19" applyBorder="1" fontId="2" applyFont="1" fillId="0" applyAlignment="1">
      <alignment horizontal="left"/>
    </xf>
    <xf xfId="0" numFmtId="20" applyNumberFormat="1" borderId="19" applyBorder="1" fontId="2" applyFont="1" fillId="0" applyAlignment="1">
      <alignment horizontal="left"/>
    </xf>
    <xf xfId="0" numFmtId="3" applyNumberFormat="1" borderId="19" applyBorder="1" fontId="2" applyFont="1" fillId="0" applyAlignment="1">
      <alignment horizontal="left"/>
    </xf>
    <xf xfId="0" numFmtId="3" applyNumberFormat="1" borderId="20" applyBorder="1" fontId="2" applyFont="1" fillId="0" applyAlignment="1">
      <alignment horizontal="left"/>
    </xf>
    <xf xfId="0" numFmtId="3" applyNumberFormat="1" borderId="12" applyBorder="1" fontId="1" applyFont="1" fillId="2" applyFill="1" applyAlignment="1">
      <alignment horizontal="left"/>
    </xf>
    <xf xfId="0" numFmtId="20" applyNumberFormat="1" borderId="13" applyBorder="1" fontId="2" applyFont="1" fillId="0" applyAlignment="1">
      <alignment horizontal="left"/>
    </xf>
    <xf xfId="0" numFmtId="3" applyNumberFormat="1" borderId="13" applyBorder="1" fontId="2" applyFont="1" fillId="0" applyAlignment="1">
      <alignment horizontal="left"/>
    </xf>
    <xf xfId="0" numFmtId="3" applyNumberFormat="1" borderId="14" applyBorder="1" fontId="2" applyFont="1" fillId="0" applyAlignment="1">
      <alignment horizontal="left"/>
    </xf>
    <xf xfId="0" numFmtId="3" applyNumberFormat="1" borderId="12" applyBorder="1" fontId="1" applyFont="1" fillId="3" applyFill="1" applyAlignment="1">
      <alignment horizontal="left"/>
    </xf>
    <xf xfId="0" numFmtId="3" applyNumberFormat="1" borderId="19" applyBorder="1" fontId="2" applyFont="1" fillId="0" applyAlignment="1">
      <alignment horizontal="right"/>
    </xf>
    <xf xfId="0" numFmtId="3" applyNumberFormat="1" borderId="12" applyBorder="1" fontId="1" applyFont="1" fillId="4" applyFill="1" applyAlignment="1">
      <alignment horizontal="left"/>
    </xf>
    <xf xfId="0" numFmtId="3" applyNumberFormat="1" borderId="12" applyBorder="1" fontId="1" applyFont="1" fillId="5" applyFill="1" applyAlignment="1">
      <alignment horizontal="left"/>
    </xf>
    <xf xfId="0" numFmtId="3" applyNumberFormat="1" borderId="15" applyBorder="1" fontId="1" applyFont="1" fillId="5" applyFill="1" applyAlignment="1">
      <alignment horizontal="left"/>
    </xf>
    <xf xfId="0" numFmtId="20" applyNumberFormat="1" borderId="16" applyBorder="1" fontId="2" applyFont="1" fillId="0" applyAlignment="1">
      <alignment horizontal="left"/>
    </xf>
    <xf xfId="0" numFmtId="3" applyNumberFormat="1" borderId="16" applyBorder="1" fontId="2" applyFont="1" fillId="0" applyAlignment="1">
      <alignment horizontal="left"/>
    </xf>
    <xf xfId="0" numFmtId="3" applyNumberFormat="1" borderId="17" applyBorder="1" fontId="2" applyFont="1" fillId="0" applyAlignment="1">
      <alignment horizontal="left"/>
    </xf>
    <xf xfId="0" numFmtId="3" applyNumberFormat="1" borderId="21" applyBorder="1" fontId="2" applyFont="1" fillId="4" applyFill="1" applyAlignment="1">
      <alignment horizontal="left"/>
    </xf>
    <xf xfId="0" numFmtId="0" borderId="22" applyBorder="1" fontId="2" applyFont="1" fillId="0" applyAlignment="1">
      <alignment horizontal="center"/>
    </xf>
    <xf xfId="0" numFmtId="20" applyNumberFormat="1" borderId="22" applyBorder="1" fontId="2" applyFont="1" fillId="0" applyAlignment="1">
      <alignment horizontal="center"/>
    </xf>
    <xf xfId="0" numFmtId="3" applyNumberFormat="1" borderId="22" applyBorder="1" fontId="2" applyFont="1" fillId="0" applyAlignment="1">
      <alignment horizontal="center"/>
    </xf>
    <xf xfId="0" numFmtId="3" applyNumberFormat="1" borderId="23" applyBorder="1" fontId="2" applyFont="1" fillId="0" applyAlignment="1">
      <alignment horizontal="center"/>
    </xf>
    <xf xfId="0" numFmtId="3" applyNumberFormat="1" borderId="15" applyBorder="1" fontId="2" applyFont="1" fillId="5" applyFill="1" applyAlignment="1">
      <alignment horizontal="left"/>
    </xf>
    <xf xfId="0" numFmtId="0" borderId="16" applyBorder="1" fontId="2" applyFont="1" fillId="0" applyAlignment="1">
      <alignment horizontal="center"/>
    </xf>
    <xf xfId="0" numFmtId="20" applyNumberFormat="1" borderId="16" applyBorder="1" fontId="2" applyFont="1" fillId="0" applyAlignment="1">
      <alignment horizontal="center"/>
    </xf>
    <xf xfId="0" numFmtId="3" applyNumberFormat="1" borderId="16" applyBorder="1" fontId="2" applyFont="1" fillId="0" applyAlignment="1">
      <alignment horizontal="center"/>
    </xf>
    <xf xfId="0" numFmtId="3" applyNumberFormat="1" borderId="17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20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7" applyBorder="1" fontId="1" applyFont="1" fillId="0" applyAlignment="1">
      <alignment horizontal="left"/>
    </xf>
    <xf xfId="0" numFmtId="3" applyNumberFormat="1" borderId="21" applyBorder="1" fontId="1" applyFont="1" fillId="0" applyAlignment="1">
      <alignment horizontal="left"/>
    </xf>
    <xf xfId="0" numFmtId="0" borderId="22" applyBorder="1" fontId="1" applyFont="1" fillId="0" applyAlignment="1">
      <alignment horizontal="left"/>
    </xf>
    <xf xfId="0" numFmtId="0" borderId="23" applyBorder="1" fontId="1" applyFont="1" fillId="0" applyAlignment="1">
      <alignment horizontal="left"/>
    </xf>
    <xf xfId="0" numFmtId="3" applyNumberFormat="1" borderId="24" applyBorder="1" fontId="2" applyFont="1" fillId="0" applyAlignment="1">
      <alignment horizontal="right"/>
    </xf>
    <xf xfId="0" numFmtId="0" borderId="20" applyBorder="1" fontId="2" applyFont="1" fillId="0" applyAlignment="1">
      <alignment horizontal="left"/>
    </xf>
    <xf xfId="0" numFmtId="0" borderId="14" applyBorder="1" fontId="2" applyFont="1" fillId="0" applyAlignment="1">
      <alignment horizontal="left"/>
    </xf>
    <xf xfId="0" numFmtId="3" applyNumberFormat="1" borderId="12" applyBorder="1" fontId="2" applyFont="1" fillId="0" applyAlignment="1">
      <alignment horizontal="left"/>
    </xf>
    <xf xfId="0" numFmtId="3" applyNumberFormat="1" borderId="15" applyBorder="1" fontId="2" applyFont="1" fillId="0" applyAlignment="1">
      <alignment horizontal="left"/>
    </xf>
    <xf xfId="0" numFmtId="3" applyNumberFormat="1" borderId="25" applyBorder="1" fontId="2" applyFont="1" fillId="0" applyAlignment="1">
      <alignment horizontal="right"/>
    </xf>
    <xf xfId="0" numFmtId="0" borderId="17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1" applyNumberFormat="1" borderId="26" applyBorder="1" fontId="1" applyFont="1" fillId="0" applyAlignment="1">
      <alignment horizontal="left"/>
    </xf>
    <xf xfId="0" numFmtId="164" applyNumberFormat="1" borderId="27" applyBorder="1" fontId="2" applyFont="1" fillId="0" applyAlignment="1">
      <alignment horizontal="left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64"/>
  <sheetViews>
    <sheetView workbookViewId="0" tabSelected="1"/>
  </sheetViews>
  <sheetFormatPr defaultRowHeight="15" x14ac:dyDescent="0.25"/>
  <cols>
    <col min="1" max="1" style="82" width="6.147857142857143" customWidth="1" bestFit="1"/>
    <col min="2" max="2" style="82" width="19.433571428571426" customWidth="1" bestFit="1"/>
    <col min="3" max="3" style="66" width="20.290714285714284" customWidth="1" bestFit="1"/>
    <col min="4" max="4" style="82" width="12.147857142857141" customWidth="1" bestFit="1"/>
    <col min="5" max="5" style="82" width="12.147857142857141" customWidth="1" bestFit="1"/>
    <col min="6" max="6" style="85" width="14.290714285714287" customWidth="1" bestFit="1"/>
    <col min="7" max="7" style="66" width="12.43357142857143" customWidth="1" bestFit="1"/>
    <col min="8" max="8" style="66" width="12.43357142857143" customWidth="1" bestFit="1"/>
    <col min="9" max="9" style="66" width="12.43357142857143" customWidth="1" bestFit="1"/>
    <col min="10" max="10" style="66" width="12.43357142857143" customWidth="1" bestFit="1"/>
    <col min="11" max="11" style="66" width="12.43357142857143" customWidth="1" bestFit="1"/>
    <col min="12" max="12" style="66" width="12.43357142857143" customWidth="1" bestFit="1"/>
    <col min="13" max="13" style="66" width="12.43357142857143" customWidth="1" bestFit="1"/>
    <col min="14" max="14" style="66" width="12.43357142857143" customWidth="1" bestFit="1"/>
    <col min="15" max="15" style="66" width="12.43357142857143" customWidth="1" bestFit="1"/>
    <col min="16" max="16" style="66" width="12.43357142857143" customWidth="1" bestFit="1"/>
    <col min="17" max="17" style="66" width="12.43357142857143" customWidth="1" bestFit="1"/>
    <col min="18" max="18" style="66" width="12.43357142857143" customWidth="1" bestFit="1"/>
  </cols>
  <sheetData>
    <row x14ac:dyDescent="0.25" r="1" customHeight="1" ht="19.5">
      <c r="A1" s="72" t="s">
        <v>71</v>
      </c>
      <c r="B1" s="72" t="s">
        <v>107</v>
      </c>
      <c r="C1" s="74" t="s">
        <v>5</v>
      </c>
      <c r="D1" s="72" t="s">
        <v>73</v>
      </c>
      <c r="E1" s="72" t="s">
        <v>108</v>
      </c>
      <c r="F1" s="83" t="s">
        <v>109</v>
      </c>
      <c r="G1" s="73" t="s">
        <v>74</v>
      </c>
      <c r="H1" s="73" t="s">
        <v>75</v>
      </c>
      <c r="I1" s="73" t="s">
        <v>76</v>
      </c>
      <c r="J1" s="73" t="s">
        <v>77</v>
      </c>
      <c r="K1" s="73" t="s">
        <v>78</v>
      </c>
      <c r="L1" s="73" t="s">
        <v>79</v>
      </c>
      <c r="M1" s="73" t="s">
        <v>80</v>
      </c>
      <c r="N1" s="73" t="s">
        <v>81</v>
      </c>
      <c r="O1" s="73" t="s">
        <v>82</v>
      </c>
      <c r="P1" s="73" t="s">
        <v>83</v>
      </c>
      <c r="Q1" s="73" t="s">
        <v>84</v>
      </c>
      <c r="R1" s="74" t="s">
        <v>85</v>
      </c>
    </row>
    <row x14ac:dyDescent="0.25" r="2" customHeight="1" ht="17.25">
      <c r="A2" s="27">
        <v>1</v>
      </c>
      <c r="B2" s="27">
        <v>900</v>
      </c>
      <c r="C2" s="77" t="s">
        <v>110</v>
      </c>
      <c r="D2" s="27">
        <v>900</v>
      </c>
      <c r="E2" s="27">
        <v>900</v>
      </c>
      <c r="F2" s="84">
        <v>45850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77"/>
    </row>
    <row x14ac:dyDescent="0.25" r="3" customHeight="1" ht="17.25">
      <c r="A3" s="27">
        <v>2</v>
      </c>
      <c r="B3" s="27">
        <v>890</v>
      </c>
      <c r="C3" s="77" t="s">
        <v>111</v>
      </c>
      <c r="D3" s="27">
        <v>890</v>
      </c>
      <c r="E3" s="27">
        <v>890</v>
      </c>
      <c r="F3" s="84">
        <v>45850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77"/>
    </row>
    <row x14ac:dyDescent="0.25" r="4" customHeight="1" ht="17.25">
      <c r="A4" s="27">
        <v>3</v>
      </c>
      <c r="B4" s="27">
        <v>880</v>
      </c>
      <c r="C4" s="77" t="s">
        <v>112</v>
      </c>
      <c r="D4" s="27">
        <v>880</v>
      </c>
      <c r="E4" s="27">
        <v>880</v>
      </c>
      <c r="F4" s="84">
        <v>45850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77"/>
    </row>
    <row x14ac:dyDescent="0.25" r="5" customHeight="1" ht="17.25">
      <c r="A5" s="27">
        <v>4</v>
      </c>
      <c r="B5" s="27">
        <v>870</v>
      </c>
      <c r="C5" s="77" t="s">
        <v>113</v>
      </c>
      <c r="D5" s="27">
        <v>870</v>
      </c>
      <c r="E5" s="27">
        <v>870</v>
      </c>
      <c r="F5" s="84">
        <v>45850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77"/>
    </row>
    <row x14ac:dyDescent="0.25" r="6" customHeight="1" ht="17.25">
      <c r="A6" s="27">
        <v>5</v>
      </c>
      <c r="B6" s="27">
        <v>860</v>
      </c>
      <c r="C6" s="77" t="s">
        <v>114</v>
      </c>
      <c r="D6" s="27">
        <v>860</v>
      </c>
      <c r="E6" s="27">
        <v>860</v>
      </c>
      <c r="F6" s="84">
        <v>45850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77"/>
    </row>
    <row x14ac:dyDescent="0.25" r="7" customHeight="1" ht="17.25">
      <c r="A7" s="27">
        <v>6</v>
      </c>
      <c r="B7" s="27">
        <v>850</v>
      </c>
      <c r="C7" s="77" t="s">
        <v>115</v>
      </c>
      <c r="D7" s="27">
        <v>850</v>
      </c>
      <c r="E7" s="27">
        <v>850</v>
      </c>
      <c r="F7" s="84">
        <v>45850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77"/>
    </row>
    <row x14ac:dyDescent="0.25" r="8" customHeight="1" ht="17.25">
      <c r="A8" s="27">
        <v>7</v>
      </c>
      <c r="B8" s="27">
        <v>840</v>
      </c>
      <c r="C8" s="77" t="s">
        <v>116</v>
      </c>
      <c r="D8" s="27">
        <v>840</v>
      </c>
      <c r="E8" s="27">
        <v>840</v>
      </c>
      <c r="F8" s="84">
        <v>45850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77"/>
    </row>
    <row x14ac:dyDescent="0.25" r="9" customHeight="1" ht="17.25">
      <c r="A9" s="27">
        <v>8</v>
      </c>
      <c r="B9" s="27">
        <v>830</v>
      </c>
      <c r="C9" s="77" t="s">
        <v>117</v>
      </c>
      <c r="D9" s="27">
        <v>830</v>
      </c>
      <c r="E9" s="27">
        <v>830</v>
      </c>
      <c r="F9" s="84">
        <v>45850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77"/>
    </row>
    <row x14ac:dyDescent="0.25" r="10" customHeight="1" ht="17.25">
      <c r="A10" s="27">
        <v>9</v>
      </c>
      <c r="B10" s="27">
        <v>820</v>
      </c>
      <c r="C10" s="77" t="s">
        <v>118</v>
      </c>
      <c r="D10" s="27">
        <v>820</v>
      </c>
      <c r="E10" s="27">
        <v>820</v>
      </c>
      <c r="F10" s="84">
        <v>45850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77"/>
    </row>
    <row x14ac:dyDescent="0.25" r="11" customHeight="1" ht="17.25">
      <c r="A11" s="27">
        <v>10</v>
      </c>
      <c r="B11" s="27">
        <v>810</v>
      </c>
      <c r="C11" s="77" t="s">
        <v>119</v>
      </c>
      <c r="D11" s="27">
        <v>810</v>
      </c>
      <c r="E11" s="27">
        <v>810</v>
      </c>
      <c r="F11" s="84">
        <v>45850</v>
      </c>
      <c r="G11" s="28"/>
      <c r="H11" s="77"/>
      <c r="I11" s="28"/>
      <c r="J11" s="28"/>
      <c r="K11" s="28"/>
      <c r="L11" s="28"/>
      <c r="M11" s="28"/>
      <c r="N11" s="28"/>
      <c r="O11" s="28"/>
      <c r="P11" s="28"/>
      <c r="Q11" s="28"/>
      <c r="R11" s="77"/>
    </row>
    <row x14ac:dyDescent="0.25" r="12" customHeight="1" ht="17.25">
      <c r="A12" s="27">
        <v>11</v>
      </c>
      <c r="B12" s="27">
        <v>800</v>
      </c>
      <c r="C12" s="77" t="s">
        <v>120</v>
      </c>
      <c r="D12" s="27">
        <v>800</v>
      </c>
      <c r="E12" s="27">
        <v>800</v>
      </c>
      <c r="F12" s="84">
        <v>45850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77"/>
    </row>
    <row x14ac:dyDescent="0.25" r="13" customHeight="1" ht="17.25">
      <c r="A13" s="27">
        <v>12</v>
      </c>
      <c r="B13" s="27">
        <v>790</v>
      </c>
      <c r="C13" s="77" t="s">
        <v>121</v>
      </c>
      <c r="D13" s="27">
        <v>790</v>
      </c>
      <c r="E13" s="27">
        <v>790</v>
      </c>
      <c r="F13" s="84">
        <v>45850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77"/>
    </row>
    <row x14ac:dyDescent="0.25" r="14" customHeight="1" ht="17.25">
      <c r="A14" s="27">
        <v>13</v>
      </c>
      <c r="B14" s="27">
        <v>780</v>
      </c>
      <c r="C14" s="77" t="s">
        <v>122</v>
      </c>
      <c r="D14" s="27">
        <v>780</v>
      </c>
      <c r="E14" s="27">
        <v>780</v>
      </c>
      <c r="F14" s="84">
        <v>45850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77"/>
    </row>
    <row x14ac:dyDescent="0.25" r="15" customHeight="1" ht="17.25">
      <c r="A15" s="27">
        <v>14</v>
      </c>
      <c r="B15" s="27">
        <v>770</v>
      </c>
      <c r="C15" s="77" t="s">
        <v>123</v>
      </c>
      <c r="D15" s="27">
        <v>770</v>
      </c>
      <c r="E15" s="27">
        <v>770</v>
      </c>
      <c r="F15" s="84">
        <v>45850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77"/>
    </row>
    <row x14ac:dyDescent="0.25" r="16" customHeight="1" ht="17.25">
      <c r="A16" s="27">
        <v>15</v>
      </c>
      <c r="B16" s="27">
        <v>760</v>
      </c>
      <c r="C16" s="77" t="s">
        <v>124</v>
      </c>
      <c r="D16" s="27">
        <v>760</v>
      </c>
      <c r="E16" s="27">
        <v>760</v>
      </c>
      <c r="F16" s="84">
        <v>45850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77"/>
    </row>
    <row x14ac:dyDescent="0.25" r="17" customHeight="1" ht="17.25">
      <c r="A17" s="27">
        <v>16</v>
      </c>
      <c r="B17" s="27">
        <v>750</v>
      </c>
      <c r="C17" s="77" t="s">
        <v>125</v>
      </c>
      <c r="D17" s="27">
        <v>750</v>
      </c>
      <c r="E17" s="27">
        <v>750</v>
      </c>
      <c r="F17" s="84">
        <v>45850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77"/>
    </row>
    <row x14ac:dyDescent="0.25" r="18" customHeight="1" ht="17.25">
      <c r="A18" s="27">
        <v>17</v>
      </c>
      <c r="B18" s="27">
        <v>740</v>
      </c>
      <c r="C18" s="77" t="s">
        <v>126</v>
      </c>
      <c r="D18" s="27">
        <v>740</v>
      </c>
      <c r="E18" s="27">
        <v>740</v>
      </c>
      <c r="F18" s="84">
        <v>45850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77"/>
    </row>
    <row x14ac:dyDescent="0.25" r="19" customHeight="1" ht="17.25">
      <c r="A19" s="27">
        <v>18</v>
      </c>
      <c r="B19" s="27">
        <v>730</v>
      </c>
      <c r="C19" s="77" t="s">
        <v>127</v>
      </c>
      <c r="D19" s="27">
        <v>730</v>
      </c>
      <c r="E19" s="27">
        <v>730</v>
      </c>
      <c r="F19" s="84">
        <v>45850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77"/>
    </row>
    <row x14ac:dyDescent="0.25" r="20" customHeight="1" ht="17.25">
      <c r="A20" s="27">
        <v>19</v>
      </c>
      <c r="B20" s="27">
        <v>720</v>
      </c>
      <c r="C20" s="77" t="s">
        <v>128</v>
      </c>
      <c r="D20" s="27">
        <v>720</v>
      </c>
      <c r="E20" s="27">
        <v>720</v>
      </c>
      <c r="F20" s="84">
        <v>45850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77"/>
    </row>
    <row x14ac:dyDescent="0.25" r="21" customHeight="1" ht="17.25">
      <c r="A21" s="27">
        <v>20</v>
      </c>
      <c r="B21" s="27">
        <v>710</v>
      </c>
      <c r="C21" s="77" t="s">
        <v>129</v>
      </c>
      <c r="D21" s="27">
        <v>710</v>
      </c>
      <c r="E21" s="27">
        <v>710</v>
      </c>
      <c r="F21" s="84">
        <v>45850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77"/>
    </row>
    <row x14ac:dyDescent="0.25" r="22" customHeight="1" ht="17.25">
      <c r="A22" s="27">
        <v>21</v>
      </c>
      <c r="B22" s="27">
        <v>700</v>
      </c>
      <c r="C22" s="77" t="s">
        <v>130</v>
      </c>
      <c r="D22" s="27">
        <v>700</v>
      </c>
      <c r="E22" s="27">
        <v>700</v>
      </c>
      <c r="F22" s="84">
        <v>45850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77"/>
    </row>
    <row x14ac:dyDescent="0.25" r="23" customHeight="1" ht="17.25">
      <c r="A23" s="27">
        <v>22</v>
      </c>
      <c r="B23" s="27">
        <v>690</v>
      </c>
      <c r="C23" s="77" t="s">
        <v>131</v>
      </c>
      <c r="D23" s="27">
        <v>690</v>
      </c>
      <c r="E23" s="27">
        <v>690</v>
      </c>
      <c r="F23" s="84">
        <v>45850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77"/>
    </row>
    <row x14ac:dyDescent="0.25" r="24" customHeight="1" ht="17.25">
      <c r="A24" s="27">
        <v>23</v>
      </c>
      <c r="B24" s="27">
        <v>680</v>
      </c>
      <c r="C24" s="77" t="s">
        <v>132</v>
      </c>
      <c r="D24" s="27">
        <v>680</v>
      </c>
      <c r="E24" s="27">
        <v>680</v>
      </c>
      <c r="F24" s="84">
        <v>45850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77"/>
    </row>
    <row x14ac:dyDescent="0.25" r="25" customHeight="1" ht="17.25">
      <c r="A25" s="27">
        <v>24</v>
      </c>
      <c r="B25" s="27">
        <v>670</v>
      </c>
      <c r="C25" s="77" t="s">
        <v>133</v>
      </c>
      <c r="D25" s="27">
        <v>670</v>
      </c>
      <c r="E25" s="27">
        <v>670</v>
      </c>
      <c r="F25" s="84">
        <v>45850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77"/>
    </row>
    <row x14ac:dyDescent="0.25" r="26" customHeight="1" ht="18">
      <c r="A26" s="27">
        <v>25</v>
      </c>
      <c r="B26" s="27">
        <v>660</v>
      </c>
      <c r="C26" s="77" t="s">
        <v>134</v>
      </c>
      <c r="D26" s="27">
        <v>660</v>
      </c>
      <c r="E26" s="27">
        <v>660</v>
      </c>
      <c r="F26" s="84">
        <v>45850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77"/>
    </row>
    <row x14ac:dyDescent="0.25" r="27" customHeight="1" ht="17.25">
      <c r="A27" s="27">
        <v>26</v>
      </c>
      <c r="B27" s="27">
        <v>650</v>
      </c>
      <c r="C27" s="77" t="s">
        <v>135</v>
      </c>
      <c r="D27" s="27">
        <v>650</v>
      </c>
      <c r="E27" s="27">
        <v>650</v>
      </c>
      <c r="F27" s="84">
        <v>45850</v>
      </c>
      <c r="G27" s="28"/>
      <c r="H27" s="28"/>
      <c r="I27" s="28"/>
      <c r="J27" s="1"/>
      <c r="K27" s="28"/>
      <c r="L27" s="28"/>
      <c r="M27" s="28"/>
      <c r="N27" s="28"/>
      <c r="O27" s="28"/>
      <c r="P27" s="28"/>
      <c r="Q27" s="28"/>
      <c r="R27" s="77"/>
    </row>
    <row x14ac:dyDescent="0.25" r="28" customHeight="1" ht="18">
      <c r="A28" s="27">
        <v>27</v>
      </c>
      <c r="B28" s="27">
        <v>640</v>
      </c>
      <c r="C28" s="77" t="s">
        <v>136</v>
      </c>
      <c r="D28" s="27">
        <v>640</v>
      </c>
      <c r="E28" s="27">
        <v>640</v>
      </c>
      <c r="F28" s="84">
        <v>45850</v>
      </c>
      <c r="G28" s="28"/>
      <c r="H28" s="28"/>
      <c r="I28" s="28"/>
      <c r="J28" s="1"/>
      <c r="K28" s="28"/>
      <c r="L28" s="28"/>
      <c r="M28" s="28"/>
      <c r="N28" s="28"/>
      <c r="O28" s="28"/>
      <c r="P28" s="28"/>
      <c r="Q28" s="28"/>
      <c r="R28" s="77"/>
    </row>
    <row x14ac:dyDescent="0.25" r="29" customHeight="1" ht="17.25">
      <c r="A29" s="27">
        <v>28</v>
      </c>
      <c r="B29" s="27">
        <v>630</v>
      </c>
      <c r="C29" s="77" t="s">
        <v>137</v>
      </c>
      <c r="D29" s="27">
        <v>630</v>
      </c>
      <c r="E29" s="27">
        <v>630</v>
      </c>
      <c r="F29" s="84">
        <v>45850</v>
      </c>
      <c r="G29" s="28"/>
      <c r="H29" s="28"/>
      <c r="I29" s="28"/>
      <c r="J29" s="1"/>
      <c r="K29" s="28"/>
      <c r="L29" s="28"/>
      <c r="M29" s="28"/>
      <c r="N29" s="28"/>
      <c r="O29" s="28"/>
      <c r="P29" s="77"/>
      <c r="Q29" s="1"/>
      <c r="R29" s="1"/>
    </row>
    <row x14ac:dyDescent="0.25" r="30" customHeight="1" ht="17.25">
      <c r="A30" s="27">
        <v>29</v>
      </c>
      <c r="B30" s="27">
        <v>620</v>
      </c>
      <c r="C30" s="77" t="s">
        <v>138</v>
      </c>
      <c r="D30" s="27">
        <v>620</v>
      </c>
      <c r="E30" s="27">
        <v>620</v>
      </c>
      <c r="F30" s="84">
        <v>45850</v>
      </c>
      <c r="G30" s="28"/>
      <c r="H30" s="28"/>
      <c r="I30" s="28"/>
      <c r="J30" s="1"/>
      <c r="K30" s="28"/>
      <c r="L30" s="28"/>
      <c r="M30" s="28"/>
      <c r="N30" s="28"/>
      <c r="O30" s="28"/>
      <c r="P30" s="77"/>
      <c r="Q30" s="1"/>
      <c r="R30" s="1"/>
    </row>
    <row x14ac:dyDescent="0.25" r="31" customHeight="1" ht="17.25">
      <c r="A31" s="27">
        <v>30</v>
      </c>
      <c r="B31" s="27">
        <v>610</v>
      </c>
      <c r="C31" s="77" t="s">
        <v>139</v>
      </c>
      <c r="D31" s="27">
        <v>610</v>
      </c>
      <c r="E31" s="27">
        <v>610</v>
      </c>
      <c r="F31" s="84">
        <v>45850</v>
      </c>
      <c r="G31" s="28"/>
      <c r="H31" s="28"/>
      <c r="I31" s="28"/>
      <c r="J31" s="1"/>
      <c r="K31" s="28"/>
      <c r="L31" s="28"/>
      <c r="M31" s="28"/>
      <c r="N31" s="28"/>
      <c r="O31" s="28"/>
      <c r="P31" s="77"/>
      <c r="Q31" s="1"/>
      <c r="R31" s="1"/>
    </row>
    <row x14ac:dyDescent="0.25" r="32" customHeight="1" ht="17.25">
      <c r="A32" s="27">
        <v>31</v>
      </c>
      <c r="B32" s="27">
        <v>600</v>
      </c>
      <c r="C32" s="77" t="s">
        <v>140</v>
      </c>
      <c r="D32" s="27">
        <v>600</v>
      </c>
      <c r="E32" s="27">
        <v>600</v>
      </c>
      <c r="F32" s="84">
        <v>45850</v>
      </c>
      <c r="G32" s="28"/>
      <c r="H32" s="28"/>
      <c r="I32" s="28"/>
      <c r="J32" s="28"/>
      <c r="K32" s="28"/>
      <c r="L32" s="28"/>
      <c r="M32" s="28"/>
      <c r="N32" s="28"/>
      <c r="O32" s="28"/>
      <c r="P32" s="77"/>
      <c r="Q32" s="1"/>
      <c r="R32" s="1"/>
    </row>
    <row x14ac:dyDescent="0.25" r="33" customHeight="1" ht="17.25">
      <c r="A33" s="27">
        <v>32</v>
      </c>
      <c r="B33" s="27">
        <v>590</v>
      </c>
      <c r="C33" s="77" t="s">
        <v>141</v>
      </c>
      <c r="D33" s="27">
        <v>590</v>
      </c>
      <c r="E33" s="27">
        <v>590</v>
      </c>
      <c r="F33" s="84">
        <v>45850</v>
      </c>
      <c r="G33" s="28"/>
      <c r="H33" s="28"/>
      <c r="I33" s="28"/>
      <c r="J33" s="28"/>
      <c r="K33" s="28"/>
      <c r="L33" s="28"/>
      <c r="M33" s="28"/>
      <c r="N33" s="28"/>
      <c r="O33" s="28"/>
      <c r="P33" s="77"/>
      <c r="Q33" s="1"/>
      <c r="R33" s="1"/>
    </row>
    <row x14ac:dyDescent="0.25" r="34" customHeight="1" ht="17.25">
      <c r="A34" s="27">
        <v>33</v>
      </c>
      <c r="B34" s="27">
        <v>580</v>
      </c>
      <c r="C34" s="77" t="s">
        <v>142</v>
      </c>
      <c r="D34" s="27">
        <v>580</v>
      </c>
      <c r="E34" s="27">
        <v>580</v>
      </c>
      <c r="F34" s="84">
        <v>45850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77"/>
    </row>
    <row x14ac:dyDescent="0.25" r="35" customHeight="1" ht="17.25">
      <c r="A35" s="27">
        <v>34</v>
      </c>
      <c r="B35" s="27">
        <v>570</v>
      </c>
      <c r="C35" s="77" t="s">
        <v>143</v>
      </c>
      <c r="D35" s="27">
        <v>570</v>
      </c>
      <c r="E35" s="27">
        <v>570</v>
      </c>
      <c r="F35" s="84">
        <v>45850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77"/>
    </row>
    <row x14ac:dyDescent="0.25" r="36" customHeight="1" ht="17.25">
      <c r="A36" s="27">
        <v>35</v>
      </c>
      <c r="B36" s="27">
        <v>560</v>
      </c>
      <c r="C36" s="77" t="s">
        <v>144</v>
      </c>
      <c r="D36" s="27">
        <v>560</v>
      </c>
      <c r="E36" s="27">
        <v>560</v>
      </c>
      <c r="F36" s="84">
        <v>45850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77"/>
    </row>
    <row x14ac:dyDescent="0.25" r="37" customHeight="1" ht="17.25">
      <c r="A37" s="27">
        <v>36</v>
      </c>
      <c r="B37" s="27">
        <v>550</v>
      </c>
      <c r="C37" s="77" t="s">
        <v>145</v>
      </c>
      <c r="D37" s="27">
        <v>550</v>
      </c>
      <c r="E37" s="27">
        <v>550</v>
      </c>
      <c r="F37" s="84">
        <v>45850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77"/>
    </row>
    <row x14ac:dyDescent="0.25" r="38" customHeight="1" ht="17.25">
      <c r="A38" s="27">
        <v>37</v>
      </c>
      <c r="B38" s="27">
        <v>540</v>
      </c>
      <c r="C38" s="77" t="s">
        <v>146</v>
      </c>
      <c r="D38" s="27">
        <v>540</v>
      </c>
      <c r="E38" s="27">
        <v>540</v>
      </c>
      <c r="F38" s="84">
        <v>45850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77"/>
    </row>
    <row x14ac:dyDescent="0.25" r="39" customHeight="1" ht="17.25">
      <c r="A39" s="27">
        <v>38</v>
      </c>
      <c r="B39" s="27">
        <v>530</v>
      </c>
      <c r="C39" s="77" t="s">
        <v>147</v>
      </c>
      <c r="D39" s="27">
        <v>530</v>
      </c>
      <c r="E39" s="27">
        <v>530</v>
      </c>
      <c r="F39" s="84">
        <v>45850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77"/>
    </row>
    <row x14ac:dyDescent="0.25" r="40" customHeight="1" ht="17.25">
      <c r="A40" s="27">
        <v>39</v>
      </c>
      <c r="B40" s="27">
        <v>520</v>
      </c>
      <c r="C40" s="77" t="s">
        <v>148</v>
      </c>
      <c r="D40" s="27">
        <v>520</v>
      </c>
      <c r="E40" s="27">
        <v>520</v>
      </c>
      <c r="F40" s="84">
        <v>45850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77"/>
    </row>
    <row x14ac:dyDescent="0.25" r="41" customHeight="1" ht="17.25">
      <c r="A41" s="27">
        <v>40</v>
      </c>
      <c r="B41" s="27">
        <v>510</v>
      </c>
      <c r="C41" s="77" t="s">
        <v>149</v>
      </c>
      <c r="D41" s="27">
        <v>510</v>
      </c>
      <c r="E41" s="27">
        <v>510</v>
      </c>
      <c r="F41" s="84">
        <v>45850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77"/>
    </row>
    <row x14ac:dyDescent="0.25" r="42" customHeight="1" ht="17.25">
      <c r="A42" s="27">
        <v>41</v>
      </c>
      <c r="B42" s="27">
        <v>500</v>
      </c>
      <c r="C42" s="77" t="s">
        <v>150</v>
      </c>
      <c r="D42" s="27">
        <v>500</v>
      </c>
      <c r="E42" s="27">
        <v>500</v>
      </c>
      <c r="F42" s="84">
        <v>45850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77"/>
    </row>
    <row x14ac:dyDescent="0.25" r="43" customHeight="1" ht="17.25">
      <c r="A43" s="27">
        <v>42</v>
      </c>
      <c r="B43" s="27">
        <v>490</v>
      </c>
      <c r="C43" s="77" t="s">
        <v>151</v>
      </c>
      <c r="D43" s="27">
        <v>490</v>
      </c>
      <c r="E43" s="27">
        <v>490</v>
      </c>
      <c r="F43" s="84">
        <v>45850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77"/>
    </row>
    <row x14ac:dyDescent="0.25" r="44" customHeight="1" ht="17.25">
      <c r="A44" s="27">
        <v>43</v>
      </c>
      <c r="B44" s="27">
        <v>480</v>
      </c>
      <c r="C44" s="81" t="s">
        <v>152</v>
      </c>
      <c r="D44" s="27">
        <v>480</v>
      </c>
      <c r="E44" s="27">
        <v>480</v>
      </c>
      <c r="F44" s="84">
        <v>45850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77"/>
    </row>
    <row x14ac:dyDescent="0.25" r="45" customHeight="1" ht="17.25">
      <c r="A45" s="27">
        <v>44</v>
      </c>
      <c r="B45" s="27">
        <v>470</v>
      </c>
      <c r="C45" s="76" t="s">
        <v>153</v>
      </c>
      <c r="D45" s="27">
        <v>470</v>
      </c>
      <c r="E45" s="27">
        <v>470</v>
      </c>
      <c r="F45" s="84">
        <v>45850</v>
      </c>
      <c r="G45" s="28"/>
      <c r="H45" s="28"/>
      <c r="I45" s="1"/>
      <c r="J45" s="28"/>
      <c r="K45" s="28"/>
      <c r="L45" s="28"/>
      <c r="M45" s="28"/>
      <c r="N45" s="28"/>
      <c r="O45" s="28"/>
      <c r="P45" s="28"/>
      <c r="Q45" s="28"/>
      <c r="R45" s="77"/>
    </row>
    <row x14ac:dyDescent="0.25" r="46" customHeight="1" ht="17.25">
      <c r="A46" s="27">
        <v>45</v>
      </c>
      <c r="B46" s="27">
        <v>460</v>
      </c>
      <c r="C46" s="77" t="s">
        <v>87</v>
      </c>
      <c r="D46" s="27">
        <v>460</v>
      </c>
      <c r="E46" s="27">
        <v>460</v>
      </c>
      <c r="F46" s="84">
        <v>45850</v>
      </c>
      <c r="G46" s="28"/>
      <c r="H46" s="28"/>
      <c r="I46" s="1"/>
      <c r="J46" s="28"/>
      <c r="K46" s="28"/>
      <c r="L46" s="28"/>
      <c r="M46" s="28"/>
      <c r="N46" s="28"/>
      <c r="O46" s="28"/>
      <c r="P46" s="28"/>
      <c r="Q46" s="28"/>
      <c r="R46" s="77"/>
    </row>
    <row x14ac:dyDescent="0.25" r="47" customHeight="1" ht="17.25">
      <c r="A47" s="27">
        <v>46</v>
      </c>
      <c r="B47" s="27">
        <v>450</v>
      </c>
      <c r="C47" s="77" t="s">
        <v>88</v>
      </c>
      <c r="D47" s="27">
        <v>450</v>
      </c>
      <c r="E47" s="27">
        <v>450</v>
      </c>
      <c r="F47" s="84">
        <v>45850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77"/>
    </row>
    <row x14ac:dyDescent="0.25" r="48" customHeight="1" ht="17.25">
      <c r="A48" s="27">
        <v>47</v>
      </c>
      <c r="B48" s="27">
        <v>440</v>
      </c>
      <c r="C48" s="77" t="s">
        <v>89</v>
      </c>
      <c r="D48" s="27">
        <v>440</v>
      </c>
      <c r="E48" s="27">
        <v>440</v>
      </c>
      <c r="F48" s="84">
        <v>45850</v>
      </c>
      <c r="G48" s="28"/>
      <c r="H48" s="28"/>
      <c r="I48" s="28"/>
      <c r="J48" s="28"/>
      <c r="K48" s="28"/>
      <c r="L48" s="28"/>
      <c r="M48" s="28"/>
      <c r="N48" s="28"/>
      <c r="O48" s="28"/>
      <c r="P48" s="77"/>
      <c r="Q48" s="1"/>
      <c r="R48" s="1"/>
    </row>
    <row x14ac:dyDescent="0.25" r="49" customHeight="1" ht="17.25">
      <c r="A49" s="27">
        <v>48</v>
      </c>
      <c r="B49" s="27">
        <v>430</v>
      </c>
      <c r="C49" s="77" t="s">
        <v>90</v>
      </c>
      <c r="D49" s="27">
        <v>430</v>
      </c>
      <c r="E49" s="27">
        <v>430</v>
      </c>
      <c r="F49" s="84">
        <v>45850</v>
      </c>
      <c r="G49" s="28"/>
      <c r="H49" s="28"/>
      <c r="I49" s="28"/>
      <c r="J49" s="28"/>
      <c r="K49" s="28"/>
      <c r="L49" s="28"/>
      <c r="M49" s="28"/>
      <c r="N49" s="28"/>
      <c r="O49" s="28"/>
      <c r="P49" s="77"/>
      <c r="Q49" s="1"/>
      <c r="R49" s="1"/>
    </row>
    <row x14ac:dyDescent="0.25" r="50" customHeight="1" ht="17.25">
      <c r="A50" s="27">
        <v>49</v>
      </c>
      <c r="B50" s="27">
        <v>420</v>
      </c>
      <c r="C50" s="77" t="s">
        <v>91</v>
      </c>
      <c r="D50" s="27">
        <v>420</v>
      </c>
      <c r="E50" s="27">
        <v>420</v>
      </c>
      <c r="F50" s="84">
        <v>45850</v>
      </c>
      <c r="G50" s="28"/>
      <c r="H50" s="28"/>
      <c r="I50" s="28"/>
      <c r="J50" s="28"/>
      <c r="K50" s="28"/>
      <c r="L50" s="28"/>
      <c r="M50" s="28"/>
      <c r="N50" s="28"/>
      <c r="O50" s="28"/>
      <c r="P50" s="77"/>
      <c r="Q50" s="1"/>
      <c r="R50" s="1"/>
    </row>
    <row x14ac:dyDescent="0.25" r="51" customHeight="1" ht="17.25">
      <c r="A51" s="27">
        <v>50</v>
      </c>
      <c r="B51" s="27">
        <v>410</v>
      </c>
      <c r="C51" s="77" t="s">
        <v>92</v>
      </c>
      <c r="D51" s="27">
        <v>410</v>
      </c>
      <c r="E51" s="27">
        <v>410</v>
      </c>
      <c r="F51" s="84">
        <v>45850</v>
      </c>
      <c r="G51" s="28"/>
      <c r="H51" s="28"/>
      <c r="I51" s="28"/>
      <c r="J51" s="28"/>
      <c r="K51" s="28"/>
      <c r="L51" s="28"/>
      <c r="M51" s="28"/>
      <c r="N51" s="28"/>
      <c r="O51" s="28"/>
      <c r="P51" s="77"/>
      <c r="Q51" s="1"/>
      <c r="R51" s="1"/>
    </row>
    <row x14ac:dyDescent="0.25" r="52" customHeight="1" ht="17.25">
      <c r="A52" s="27">
        <v>51</v>
      </c>
      <c r="B52" s="27">
        <v>400</v>
      </c>
      <c r="C52" s="77" t="s">
        <v>93</v>
      </c>
      <c r="D52" s="27">
        <v>400</v>
      </c>
      <c r="E52" s="27">
        <v>400</v>
      </c>
      <c r="F52" s="84">
        <v>45850</v>
      </c>
      <c r="G52" s="28"/>
      <c r="H52" s="28"/>
      <c r="I52" s="28"/>
      <c r="J52" s="28"/>
      <c r="K52" s="28"/>
      <c r="L52" s="28"/>
      <c r="M52" s="28"/>
      <c r="N52" s="28"/>
      <c r="O52" s="28"/>
      <c r="P52" s="77"/>
      <c r="Q52" s="1"/>
      <c r="R52" s="1"/>
    </row>
    <row x14ac:dyDescent="0.25" r="53" customHeight="1" ht="17.25">
      <c r="A53" s="27">
        <v>52</v>
      </c>
      <c r="B53" s="27">
        <v>390</v>
      </c>
      <c r="C53" s="77" t="s">
        <v>94</v>
      </c>
      <c r="D53" s="27">
        <v>390</v>
      </c>
      <c r="E53" s="27">
        <v>390</v>
      </c>
      <c r="F53" s="84">
        <v>45850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77"/>
    </row>
    <row x14ac:dyDescent="0.25" r="54" customHeight="1" ht="17.25">
      <c r="A54" s="27">
        <v>53</v>
      </c>
      <c r="B54" s="27">
        <v>380</v>
      </c>
      <c r="C54" s="77" t="s">
        <v>95</v>
      </c>
      <c r="D54" s="27">
        <v>380</v>
      </c>
      <c r="E54" s="27">
        <v>380</v>
      </c>
      <c r="F54" s="84">
        <v>45850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81"/>
    </row>
    <row x14ac:dyDescent="0.25" r="55" customHeight="1" ht="17.25">
      <c r="A55" s="27">
        <v>54</v>
      </c>
      <c r="B55" s="27">
        <v>370</v>
      </c>
      <c r="C55" s="77" t="s">
        <v>97</v>
      </c>
      <c r="D55" s="27">
        <v>370</v>
      </c>
      <c r="E55" s="27">
        <v>370</v>
      </c>
      <c r="F55" s="84">
        <v>45850</v>
      </c>
      <c r="G55" s="28"/>
      <c r="H55" s="28"/>
      <c r="I55" s="28"/>
      <c r="J55" s="28"/>
      <c r="K55" s="28"/>
      <c r="L55" s="28"/>
      <c r="M55" s="28"/>
      <c r="N55" s="28"/>
      <c r="O55" s="28"/>
      <c r="P55" s="77"/>
      <c r="Q55" s="1"/>
      <c r="R55" s="1"/>
    </row>
    <row x14ac:dyDescent="0.25" r="56" customHeight="1" ht="17.25">
      <c r="A56" s="27">
        <v>55</v>
      </c>
      <c r="B56" s="27">
        <v>360</v>
      </c>
      <c r="C56" s="77" t="s">
        <v>98</v>
      </c>
      <c r="D56" s="27">
        <v>360</v>
      </c>
      <c r="E56" s="27">
        <v>360</v>
      </c>
      <c r="F56" s="84">
        <v>45850</v>
      </c>
      <c r="G56" s="28"/>
      <c r="H56" s="28"/>
      <c r="I56" s="28"/>
      <c r="J56" s="28"/>
      <c r="K56" s="28"/>
      <c r="L56" s="28"/>
      <c r="M56" s="28"/>
      <c r="N56" s="28"/>
      <c r="O56" s="28"/>
      <c r="P56" s="77"/>
      <c r="Q56" s="1"/>
      <c r="R56" s="1"/>
    </row>
    <row x14ac:dyDescent="0.25" r="57" customHeight="1" ht="17.25">
      <c r="A57" s="27">
        <v>56</v>
      </c>
      <c r="B57" s="27">
        <v>350</v>
      </c>
      <c r="C57" s="77" t="s">
        <v>99</v>
      </c>
      <c r="D57" s="27">
        <v>350</v>
      </c>
      <c r="E57" s="27">
        <v>350</v>
      </c>
      <c r="F57" s="84">
        <v>45850</v>
      </c>
      <c r="G57" s="28"/>
      <c r="H57" s="28"/>
      <c r="I57" s="28"/>
      <c r="J57" s="28"/>
      <c r="K57" s="28"/>
      <c r="L57" s="28"/>
      <c r="M57" s="28"/>
      <c r="N57" s="28"/>
      <c r="O57" s="28"/>
      <c r="P57" s="77"/>
      <c r="Q57" s="1"/>
      <c r="R57" s="1"/>
    </row>
    <row x14ac:dyDescent="0.25" r="58" customHeight="1" ht="17.25">
      <c r="A58" s="27">
        <v>57</v>
      </c>
      <c r="B58" s="27">
        <v>340</v>
      </c>
      <c r="C58" s="77" t="s">
        <v>100</v>
      </c>
      <c r="D58" s="27">
        <v>340</v>
      </c>
      <c r="E58" s="27">
        <v>340</v>
      </c>
      <c r="F58" s="84">
        <v>45850</v>
      </c>
      <c r="G58" s="28"/>
      <c r="H58" s="28"/>
      <c r="I58" s="28"/>
      <c r="J58" s="28"/>
      <c r="K58" s="28"/>
      <c r="L58" s="28"/>
      <c r="M58" s="28"/>
      <c r="N58" s="28"/>
      <c r="O58" s="28"/>
      <c r="P58" s="77"/>
      <c r="Q58" s="1"/>
      <c r="R58" s="1"/>
    </row>
    <row x14ac:dyDescent="0.25" r="59" customHeight="1" ht="17.25">
      <c r="A59" s="27">
        <v>58</v>
      </c>
      <c r="B59" s="27">
        <v>330</v>
      </c>
      <c r="C59" s="77" t="s">
        <v>101</v>
      </c>
      <c r="D59" s="27">
        <v>330</v>
      </c>
      <c r="E59" s="27">
        <v>330</v>
      </c>
      <c r="F59" s="84">
        <v>45850</v>
      </c>
      <c r="G59" s="28"/>
      <c r="H59" s="28"/>
      <c r="I59" s="28"/>
      <c r="J59" s="28"/>
      <c r="K59" s="28"/>
      <c r="L59" s="28"/>
      <c r="M59" s="28"/>
      <c r="N59" s="28"/>
      <c r="O59" s="28"/>
      <c r="P59" s="77"/>
      <c r="Q59" s="1"/>
      <c r="R59" s="1"/>
    </row>
    <row x14ac:dyDescent="0.25" r="60" customHeight="1" ht="17.25">
      <c r="A60" s="27">
        <v>59</v>
      </c>
      <c r="B60" s="27">
        <v>320</v>
      </c>
      <c r="C60" s="77" t="s">
        <v>102</v>
      </c>
      <c r="D60" s="27">
        <v>320</v>
      </c>
      <c r="E60" s="27">
        <v>320</v>
      </c>
      <c r="F60" s="84">
        <v>45850</v>
      </c>
      <c r="G60" s="28"/>
      <c r="H60" s="28"/>
      <c r="I60" s="28"/>
      <c r="J60" s="28"/>
      <c r="K60" s="28"/>
      <c r="L60" s="28"/>
      <c r="M60" s="28"/>
      <c r="N60" s="28"/>
      <c r="O60" s="28"/>
      <c r="P60" s="77"/>
      <c r="Q60" s="1"/>
      <c r="R60" s="1"/>
    </row>
    <row x14ac:dyDescent="0.25" r="61" customHeight="1" ht="17.25">
      <c r="A61" s="27">
        <v>60</v>
      </c>
      <c r="B61" s="27">
        <v>310</v>
      </c>
      <c r="C61" s="77" t="s">
        <v>103</v>
      </c>
      <c r="D61" s="27">
        <v>310</v>
      </c>
      <c r="E61" s="27">
        <v>310</v>
      </c>
      <c r="F61" s="84">
        <v>45850</v>
      </c>
      <c r="G61" s="28"/>
      <c r="H61" s="28"/>
      <c r="I61" s="28"/>
      <c r="J61" s="28"/>
      <c r="K61" s="28"/>
      <c r="L61" s="28"/>
      <c r="M61" s="28"/>
      <c r="N61" s="28"/>
      <c r="O61" s="28"/>
      <c r="P61" s="77"/>
      <c r="Q61" s="1"/>
      <c r="R61" s="1"/>
    </row>
    <row x14ac:dyDescent="0.25" r="62" customHeight="1" ht="17.25">
      <c r="A62" s="27">
        <v>61</v>
      </c>
      <c r="B62" s="27">
        <v>300</v>
      </c>
      <c r="C62" s="77" t="s">
        <v>104</v>
      </c>
      <c r="D62" s="27">
        <v>300</v>
      </c>
      <c r="E62" s="27">
        <v>300</v>
      </c>
      <c r="F62" s="84">
        <v>45850</v>
      </c>
      <c r="G62" s="28"/>
      <c r="H62" s="28"/>
      <c r="I62" s="28"/>
      <c r="J62" s="28"/>
      <c r="K62" s="28"/>
      <c r="L62" s="28"/>
      <c r="M62" s="28"/>
      <c r="N62" s="28"/>
      <c r="O62" s="28"/>
      <c r="P62" s="77"/>
      <c r="Q62" s="1"/>
      <c r="R62" s="1"/>
    </row>
    <row x14ac:dyDescent="0.25" r="63" customHeight="1" ht="17.25">
      <c r="A63" s="27">
        <v>62</v>
      </c>
      <c r="B63" s="27">
        <v>290</v>
      </c>
      <c r="C63" s="77" t="s">
        <v>105</v>
      </c>
      <c r="D63" s="27">
        <v>290</v>
      </c>
      <c r="E63" s="27">
        <v>290</v>
      </c>
      <c r="F63" s="84">
        <v>45850</v>
      </c>
      <c r="G63" s="28"/>
      <c r="H63" s="28"/>
      <c r="I63" s="28"/>
      <c r="J63" s="28"/>
      <c r="K63" s="28"/>
      <c r="L63" s="28"/>
      <c r="M63" s="28"/>
      <c r="N63" s="28"/>
      <c r="O63" s="28"/>
      <c r="P63" s="77"/>
      <c r="Q63" s="1"/>
      <c r="R63" s="1"/>
    </row>
    <row x14ac:dyDescent="0.25" r="64" customHeight="1" ht="17.25">
      <c r="A64" s="27">
        <v>63</v>
      </c>
      <c r="B64" s="27">
        <v>280</v>
      </c>
      <c r="C64" s="81" t="s">
        <v>106</v>
      </c>
      <c r="D64" s="27">
        <v>280</v>
      </c>
      <c r="E64" s="27">
        <v>280</v>
      </c>
      <c r="F64" s="84">
        <v>45850</v>
      </c>
      <c r="G64" s="33"/>
      <c r="H64" s="33"/>
      <c r="I64" s="33"/>
      <c r="J64" s="33"/>
      <c r="K64" s="33"/>
      <c r="L64" s="33"/>
      <c r="M64" s="33"/>
      <c r="N64" s="33"/>
      <c r="O64" s="33"/>
      <c r="P64" s="81"/>
      <c r="Q64" s="1"/>
      <c r="R6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1"/>
  <sheetViews>
    <sheetView workbookViewId="0"/>
  </sheetViews>
  <sheetFormatPr defaultRowHeight="15" x14ac:dyDescent="0.25"/>
  <cols>
    <col min="1" max="1" style="67" width="9.862142857142858" customWidth="1" bestFit="1"/>
    <col min="2" max="2" style="82" width="12.576428571428572" customWidth="1" bestFit="1"/>
    <col min="3" max="3" style="66" width="18.290714285714284" customWidth="1" bestFit="1"/>
    <col min="4" max="4" style="67" width="12.147857142857141" customWidth="1" bestFit="1"/>
    <col min="5" max="5" style="66" width="12.43357142857143" customWidth="1" bestFit="1"/>
    <col min="6" max="6" style="66" width="12.43357142857143" customWidth="1" bestFit="1"/>
    <col min="7" max="7" style="66" width="12.43357142857143" customWidth="1" bestFit="1"/>
    <col min="8" max="8" style="66" width="12.43357142857143" customWidth="1" bestFit="1"/>
    <col min="9" max="9" style="66" width="12.43357142857143" customWidth="1" bestFit="1"/>
    <col min="10" max="10" style="66" width="12.43357142857143" customWidth="1" bestFit="1"/>
    <col min="11" max="11" style="66" width="12.43357142857143" customWidth="1" bestFit="1"/>
    <col min="12" max="12" style="66" width="12.43357142857143" customWidth="1" bestFit="1"/>
    <col min="13" max="13" style="66" width="12.43357142857143" customWidth="1" bestFit="1"/>
    <col min="14" max="14" style="66" width="12.43357142857143" customWidth="1" bestFit="1"/>
    <col min="15" max="15" style="66" width="12.43357142857143" customWidth="1" bestFit="1"/>
    <col min="16" max="16" style="66" width="12.43357142857143" customWidth="1" bestFit="1"/>
  </cols>
  <sheetData>
    <row x14ac:dyDescent="0.25" r="1" customHeight="1" ht="17.25">
      <c r="A1" s="13" t="s">
        <v>71</v>
      </c>
      <c r="B1" s="37" t="s">
        <v>72</v>
      </c>
      <c r="C1" s="71" t="s">
        <v>5</v>
      </c>
      <c r="D1" s="72" t="s">
        <v>73</v>
      </c>
      <c r="E1" s="73" t="s">
        <v>74</v>
      </c>
      <c r="F1" s="73" t="s">
        <v>75</v>
      </c>
      <c r="G1" s="73" t="s">
        <v>76</v>
      </c>
      <c r="H1" s="73" t="s">
        <v>77</v>
      </c>
      <c r="I1" s="73" t="s">
        <v>78</v>
      </c>
      <c r="J1" s="73" t="s">
        <v>79</v>
      </c>
      <c r="K1" s="73" t="s">
        <v>80</v>
      </c>
      <c r="L1" s="73" t="s">
        <v>81</v>
      </c>
      <c r="M1" s="73" t="s">
        <v>82</v>
      </c>
      <c r="N1" s="73" t="s">
        <v>83</v>
      </c>
      <c r="O1" s="73" t="s">
        <v>84</v>
      </c>
      <c r="P1" s="74" t="s">
        <v>85</v>
      </c>
    </row>
    <row x14ac:dyDescent="0.25" r="2" customHeight="1" ht="17.25">
      <c r="A2" s="75">
        <v>1</v>
      </c>
      <c r="B2" s="49">
        <f>SUM(D2:P2)</f>
      </c>
      <c r="C2" s="76" t="s">
        <v>86</v>
      </c>
      <c r="D2" s="27">
        <v>600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77"/>
    </row>
    <row x14ac:dyDescent="0.25" r="3" customHeight="1" ht="17.25">
      <c r="A3" s="27">
        <v>2</v>
      </c>
      <c r="B3" s="49">
        <f>SUM(D3:P3)</f>
      </c>
      <c r="C3" s="77" t="s">
        <v>87</v>
      </c>
      <c r="D3" s="27">
        <v>590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77"/>
    </row>
    <row x14ac:dyDescent="0.25" r="4" customHeight="1" ht="17.25">
      <c r="A4" s="27">
        <v>3</v>
      </c>
      <c r="B4" s="49">
        <f>SUM(D4:P4)</f>
      </c>
      <c r="C4" s="77" t="s">
        <v>88</v>
      </c>
      <c r="D4" s="27">
        <v>580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77"/>
    </row>
    <row x14ac:dyDescent="0.25" r="5" customHeight="1" ht="17.25">
      <c r="A5" s="27">
        <v>4</v>
      </c>
      <c r="B5" s="49">
        <f>SUM(D5:P5)</f>
      </c>
      <c r="C5" s="77" t="s">
        <v>89</v>
      </c>
      <c r="D5" s="27">
        <v>580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77"/>
    </row>
    <row x14ac:dyDescent="0.25" r="6" customHeight="1" ht="17.25">
      <c r="A6" s="27">
        <v>5</v>
      </c>
      <c r="B6" s="49">
        <f>SUM(D6:P6)</f>
      </c>
      <c r="C6" s="77" t="s">
        <v>90</v>
      </c>
      <c r="D6" s="27">
        <v>570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77"/>
    </row>
    <row x14ac:dyDescent="0.25" r="7" customHeight="1" ht="17.25">
      <c r="A7" s="78"/>
      <c r="B7" s="49">
        <f>SUM(D7:P7)</f>
      </c>
      <c r="C7" s="77" t="s">
        <v>91</v>
      </c>
      <c r="D7" s="27">
        <v>560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77"/>
    </row>
    <row x14ac:dyDescent="0.25" r="8" customHeight="1" ht="17.25">
      <c r="A8" s="27">
        <v>7</v>
      </c>
      <c r="B8" s="49">
        <f>SUM(D8:P8)</f>
      </c>
      <c r="C8" s="77" t="s">
        <v>92</v>
      </c>
      <c r="D8" s="27">
        <v>550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77"/>
    </row>
    <row x14ac:dyDescent="0.25" r="9" customHeight="1" ht="17.25">
      <c r="A9" s="27">
        <v>8</v>
      </c>
      <c r="B9" s="49">
        <f>SUM(D9:P9)</f>
      </c>
      <c r="C9" s="77" t="s">
        <v>93</v>
      </c>
      <c r="D9" s="27">
        <v>540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77"/>
    </row>
    <row x14ac:dyDescent="0.25" r="10" customHeight="1" ht="17.25">
      <c r="A10" s="27">
        <v>9</v>
      </c>
      <c r="B10" s="49">
        <f>SUM(D10:P10)</f>
      </c>
      <c r="C10" s="77" t="s">
        <v>94</v>
      </c>
      <c r="D10" s="27">
        <v>530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77"/>
    </row>
    <row x14ac:dyDescent="0.25" r="11" customHeight="1" ht="17.25">
      <c r="A11" s="27">
        <v>10</v>
      </c>
      <c r="B11" s="49">
        <f>SUM(D11:P11)</f>
      </c>
      <c r="C11" s="77" t="s">
        <v>95</v>
      </c>
      <c r="D11" s="27">
        <v>520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77"/>
    </row>
    <row x14ac:dyDescent="0.25" r="12" customHeight="1" ht="17.25">
      <c r="A12" s="78" t="s">
        <v>96</v>
      </c>
      <c r="B12" s="49">
        <f>SUM(D12:P12)</f>
      </c>
      <c r="C12" s="77" t="s">
        <v>97</v>
      </c>
      <c r="D12" s="7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77"/>
    </row>
    <row x14ac:dyDescent="0.25" r="13" customHeight="1" ht="17.25">
      <c r="A13" s="78" t="s">
        <v>96</v>
      </c>
      <c r="B13" s="49">
        <f>SUM(D13:P13)</f>
      </c>
      <c r="C13" s="77" t="s">
        <v>98</v>
      </c>
      <c r="D13" s="7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77"/>
    </row>
    <row x14ac:dyDescent="0.25" r="14" customHeight="1" ht="17.25">
      <c r="A14" s="78" t="s">
        <v>96</v>
      </c>
      <c r="B14" s="49">
        <f>SUM(D14:P14)</f>
      </c>
      <c r="C14" s="77" t="s">
        <v>99</v>
      </c>
      <c r="D14" s="7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77"/>
    </row>
    <row x14ac:dyDescent="0.25" r="15" customHeight="1" ht="17.25">
      <c r="A15" s="78" t="s">
        <v>96</v>
      </c>
      <c r="B15" s="49">
        <f>SUM(D15:P15)</f>
      </c>
      <c r="C15" s="77" t="s">
        <v>100</v>
      </c>
      <c r="D15" s="7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77"/>
    </row>
    <row x14ac:dyDescent="0.25" r="16" customHeight="1" ht="17.25">
      <c r="A16" s="78" t="s">
        <v>96</v>
      </c>
      <c r="B16" s="49">
        <f>SUM(D16:P16)</f>
      </c>
      <c r="C16" s="77" t="s">
        <v>101</v>
      </c>
      <c r="D16" s="7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77"/>
    </row>
    <row x14ac:dyDescent="0.25" r="17" customHeight="1" ht="17.25">
      <c r="A17" s="78" t="s">
        <v>96</v>
      </c>
      <c r="B17" s="49">
        <f>SUM(D17:P17)</f>
      </c>
      <c r="C17" s="77" t="s">
        <v>102</v>
      </c>
      <c r="D17" s="7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77"/>
    </row>
    <row x14ac:dyDescent="0.25" r="18" customHeight="1" ht="17.25">
      <c r="A18" s="78" t="s">
        <v>96</v>
      </c>
      <c r="B18" s="49">
        <f>SUM(D18:P18)</f>
      </c>
      <c r="C18" s="77" t="s">
        <v>103</v>
      </c>
      <c r="D18" s="7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77"/>
    </row>
    <row x14ac:dyDescent="0.25" r="19" customHeight="1" ht="17.25">
      <c r="A19" s="78" t="s">
        <v>96</v>
      </c>
      <c r="B19" s="49">
        <f>SUM(D19:P19)</f>
      </c>
      <c r="C19" s="77" t="s">
        <v>104</v>
      </c>
      <c r="D19" s="7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77"/>
    </row>
    <row x14ac:dyDescent="0.25" r="20" customHeight="1" ht="17.25">
      <c r="A20" s="78" t="s">
        <v>96</v>
      </c>
      <c r="B20" s="49">
        <f>SUM(D20:P20)</f>
      </c>
      <c r="C20" s="77" t="s">
        <v>105</v>
      </c>
      <c r="D20" s="7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77"/>
    </row>
    <row x14ac:dyDescent="0.25" r="21" customHeight="1" ht="17.25">
      <c r="A21" s="79" t="s">
        <v>96</v>
      </c>
      <c r="B21" s="80">
        <f>SUM(D21:P21)</f>
      </c>
      <c r="C21" s="81" t="s">
        <v>106</v>
      </c>
      <c r="D21" s="79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0"/>
  <sheetViews>
    <sheetView workbookViewId="0"/>
  </sheetViews>
  <sheetFormatPr defaultRowHeight="15" x14ac:dyDescent="0.25"/>
  <cols>
    <col min="1" max="1" style="66" width="12.43357142857143" customWidth="1" bestFit="1"/>
    <col min="2" max="2" style="67" width="14.43357142857143" customWidth="1" bestFit="1"/>
    <col min="3" max="3" style="68" width="47.005" customWidth="1" bestFit="1"/>
    <col min="4" max="4" style="69" width="13.719285714285713" customWidth="1" bestFit="1"/>
    <col min="5" max="5" style="70" width="12.719285714285713" customWidth="1" bestFit="1"/>
    <col min="6" max="6" style="70" width="19.005" customWidth="1" bestFit="1"/>
    <col min="7" max="7" style="70" width="15.719285714285713" customWidth="1" bestFit="1"/>
    <col min="8" max="8" style="70" width="15.290714285714287" customWidth="1" bestFit="1"/>
    <col min="9" max="9" style="70" width="19.290714285714284" customWidth="1" bestFit="1"/>
  </cols>
  <sheetData>
    <row x14ac:dyDescent="0.25" r="1" customHeight="1" ht="17.25">
      <c r="A1" s="1"/>
      <c r="B1" s="2" t="s">
        <v>0</v>
      </c>
      <c r="C1" s="3"/>
      <c r="D1" s="4" t="s">
        <v>1</v>
      </c>
      <c r="E1" s="5"/>
      <c r="F1" s="6" t="s">
        <v>2</v>
      </c>
      <c r="G1" s="6"/>
      <c r="H1" s="7"/>
      <c r="I1" s="8"/>
    </row>
    <row x14ac:dyDescent="0.25" r="2" customHeight="1" ht="17.25">
      <c r="A2" s="1"/>
      <c r="B2" s="9"/>
      <c r="C2" s="10"/>
      <c r="D2" s="11"/>
      <c r="E2" s="8"/>
      <c r="F2" s="8"/>
      <c r="G2" s="8"/>
      <c r="H2" s="8"/>
      <c r="I2" s="12" t="s">
        <v>3</v>
      </c>
    </row>
    <row x14ac:dyDescent="0.25" r="3" customHeight="1" ht="17.25">
      <c r="A3" s="1"/>
      <c r="B3" s="13" t="s">
        <v>4</v>
      </c>
      <c r="C3" s="14" t="s">
        <v>5</v>
      </c>
      <c r="D3" s="15" t="s">
        <v>6</v>
      </c>
      <c r="E3" s="16" t="s">
        <v>7</v>
      </c>
      <c r="F3" s="17" t="s">
        <v>8</v>
      </c>
      <c r="G3" s="18" t="s">
        <v>9</v>
      </c>
      <c r="H3" s="19" t="s">
        <v>10</v>
      </c>
      <c r="I3" s="12"/>
    </row>
    <row x14ac:dyDescent="0.25" r="4" customHeight="1" ht="17.25">
      <c r="A4" s="1"/>
      <c r="B4" s="20"/>
      <c r="C4" s="21"/>
      <c r="D4" s="22" t="s">
        <v>11</v>
      </c>
      <c r="E4" s="23" t="s">
        <v>11</v>
      </c>
      <c r="F4" s="24" t="s">
        <v>12</v>
      </c>
      <c r="G4" s="25" t="s">
        <v>13</v>
      </c>
      <c r="H4" s="26" t="s">
        <v>14</v>
      </c>
      <c r="I4" s="12"/>
    </row>
    <row x14ac:dyDescent="0.25" r="5" customHeight="1" ht="17.25">
      <c r="A5" s="1"/>
      <c r="B5" s="27">
        <v>1</v>
      </c>
      <c r="C5" s="28" t="s">
        <v>15</v>
      </c>
      <c r="D5" s="29">
        <v>5</v>
      </c>
      <c r="E5" s="29">
        <v>5</v>
      </c>
      <c r="F5" s="29">
        <v>10</v>
      </c>
      <c r="G5" s="29">
        <v>5</v>
      </c>
      <c r="H5" s="30">
        <v>5</v>
      </c>
      <c r="I5" s="31">
        <f>SUM(D5:H5)</f>
      </c>
    </row>
    <row x14ac:dyDescent="0.25" r="6" customHeight="1" ht="17.25">
      <c r="A6" s="1"/>
      <c r="B6" s="27">
        <v>2</v>
      </c>
      <c r="C6" s="28" t="s">
        <v>16</v>
      </c>
      <c r="D6" s="29">
        <v>-5</v>
      </c>
      <c r="E6" s="29">
        <v>-5</v>
      </c>
      <c r="F6" s="29">
        <v>-10</v>
      </c>
      <c r="G6" s="29">
        <v>-5</v>
      </c>
      <c r="H6" s="30">
        <v>5</v>
      </c>
      <c r="I6" s="31">
        <f>SUM(D6:H6)</f>
      </c>
    </row>
    <row x14ac:dyDescent="0.25" r="7" customHeight="1" ht="17.25">
      <c r="A7" s="1"/>
      <c r="B7" s="27">
        <v>3</v>
      </c>
      <c r="C7" s="28" t="s">
        <v>17</v>
      </c>
      <c r="D7" s="29">
        <v>-5</v>
      </c>
      <c r="E7" s="29">
        <v>-5</v>
      </c>
      <c r="F7" s="29">
        <v>10</v>
      </c>
      <c r="G7" s="29">
        <v>5</v>
      </c>
      <c r="H7" s="30">
        <v>-5</v>
      </c>
      <c r="I7" s="31">
        <f>SUM(D7:H7)</f>
      </c>
    </row>
    <row x14ac:dyDescent="0.25" r="8" customHeight="1" ht="17.25">
      <c r="A8" s="1"/>
      <c r="B8" s="27">
        <v>4</v>
      </c>
      <c r="C8" s="28" t="s">
        <v>18</v>
      </c>
      <c r="D8" s="29">
        <v>5</v>
      </c>
      <c r="E8" s="29">
        <v>5</v>
      </c>
      <c r="F8" s="29">
        <v>-10</v>
      </c>
      <c r="G8" s="29">
        <v>-5</v>
      </c>
      <c r="H8" s="30">
        <v>-5</v>
      </c>
      <c r="I8" s="31">
        <f>SUM(D8:H8)</f>
      </c>
    </row>
    <row x14ac:dyDescent="0.25" r="9" customHeight="1" ht="17.25">
      <c r="A9" s="1"/>
      <c r="B9" s="27">
        <v>5</v>
      </c>
      <c r="C9" s="28" t="s">
        <v>19</v>
      </c>
      <c r="D9" s="29">
        <v>5</v>
      </c>
      <c r="E9" s="29">
        <v>5</v>
      </c>
      <c r="F9" s="29">
        <v>10</v>
      </c>
      <c r="G9" s="29">
        <v>-10</v>
      </c>
      <c r="H9" s="30">
        <v>-15</v>
      </c>
      <c r="I9" s="31">
        <f>SUM(D9:H9)</f>
      </c>
    </row>
    <row x14ac:dyDescent="0.25" r="10" customHeight="1" ht="17.25">
      <c r="A10" s="1"/>
      <c r="B10" s="27">
        <v>6</v>
      </c>
      <c r="C10" s="28" t="s">
        <v>20</v>
      </c>
      <c r="D10" s="29">
        <v>-5</v>
      </c>
      <c r="E10" s="29">
        <v>-5</v>
      </c>
      <c r="F10" s="29">
        <v>-10</v>
      </c>
      <c r="G10" s="29">
        <v>10</v>
      </c>
      <c r="H10" s="30">
        <v>-15</v>
      </c>
      <c r="I10" s="31">
        <f>SUM(D10:H10)</f>
      </c>
    </row>
    <row x14ac:dyDescent="0.25" r="11" customHeight="1" ht="17.25">
      <c r="A11" s="1"/>
      <c r="B11" s="27">
        <v>7</v>
      </c>
      <c r="C11" s="28" t="s">
        <v>21</v>
      </c>
      <c r="D11" s="29">
        <v>-5</v>
      </c>
      <c r="E11" s="29">
        <v>-5</v>
      </c>
      <c r="F11" s="29">
        <v>-10</v>
      </c>
      <c r="G11" s="29">
        <v>-10</v>
      </c>
      <c r="H11" s="30">
        <v>15</v>
      </c>
      <c r="I11" s="31">
        <f>SUM(D11:H11)</f>
      </c>
    </row>
    <row x14ac:dyDescent="0.25" r="12" customHeight="1" ht="17.25">
      <c r="A12" s="1"/>
      <c r="B12" s="32">
        <v>8</v>
      </c>
      <c r="C12" s="33" t="s">
        <v>22</v>
      </c>
      <c r="D12" s="34">
        <v>5</v>
      </c>
      <c r="E12" s="34">
        <v>5</v>
      </c>
      <c r="F12" s="34">
        <v>10</v>
      </c>
      <c r="G12" s="34">
        <v>10</v>
      </c>
      <c r="H12" s="35">
        <v>15</v>
      </c>
      <c r="I12" s="31">
        <f>SUM(D12:H12)</f>
      </c>
    </row>
    <row x14ac:dyDescent="0.25" r="13" customHeight="1" ht="17.25">
      <c r="A13" s="1"/>
      <c r="B13" s="9"/>
      <c r="C13" s="10"/>
      <c r="D13" s="11"/>
      <c r="E13" s="8"/>
      <c r="F13" s="8"/>
      <c r="G13" s="8"/>
      <c r="H13" s="8"/>
      <c r="I13" s="8"/>
    </row>
    <row x14ac:dyDescent="0.25" r="14" customHeight="1" ht="17.25">
      <c r="A14" s="1"/>
      <c r="B14" s="13" t="s">
        <v>23</v>
      </c>
      <c r="C14" s="14" t="s">
        <v>24</v>
      </c>
      <c r="D14" s="36" t="s">
        <v>25</v>
      </c>
      <c r="E14" s="37" t="s">
        <v>26</v>
      </c>
      <c r="F14" s="37" t="s">
        <v>27</v>
      </c>
      <c r="G14" s="37" t="s">
        <v>28</v>
      </c>
      <c r="H14" s="38" t="s">
        <v>29</v>
      </c>
      <c r="I14" s="8"/>
    </row>
    <row x14ac:dyDescent="0.25" r="15" customHeight="1" ht="17.25">
      <c r="A15" s="1"/>
      <c r="B15" s="39" t="s">
        <v>30</v>
      </c>
      <c r="C15" s="40" t="s">
        <v>31</v>
      </c>
      <c r="D15" s="41">
        <v>1.166550925925926</v>
      </c>
      <c r="E15" s="42" t="s">
        <v>32</v>
      </c>
      <c r="F15" s="42"/>
      <c r="G15" s="42" t="s">
        <v>33</v>
      </c>
      <c r="H15" s="43" t="s">
        <v>11</v>
      </c>
      <c r="I15" s="8"/>
    </row>
    <row x14ac:dyDescent="0.25" r="16" customHeight="1" ht="17.25">
      <c r="A16" s="1"/>
      <c r="B16" s="44" t="s">
        <v>34</v>
      </c>
      <c r="C16" s="28" t="s">
        <v>35</v>
      </c>
      <c r="D16" s="45">
        <v>1.1734953703703703</v>
      </c>
      <c r="E16" s="46" t="s">
        <v>36</v>
      </c>
      <c r="F16" s="46"/>
      <c r="G16" s="42" t="s">
        <v>37</v>
      </c>
      <c r="H16" s="47" t="s">
        <v>11</v>
      </c>
      <c r="I16" s="8"/>
    </row>
    <row x14ac:dyDescent="0.25" r="17" customHeight="1" ht="17.25">
      <c r="A17" s="1"/>
      <c r="B17" s="44" t="s">
        <v>38</v>
      </c>
      <c r="C17" s="28" t="s">
        <v>39</v>
      </c>
      <c r="D17" s="45">
        <v>1.1804398148148147</v>
      </c>
      <c r="E17" s="46" t="s">
        <v>40</v>
      </c>
      <c r="F17" s="46"/>
      <c r="G17" s="42" t="s">
        <v>37</v>
      </c>
      <c r="H17" s="47" t="s">
        <v>11</v>
      </c>
      <c r="I17" s="8"/>
    </row>
    <row x14ac:dyDescent="0.25" r="18" customHeight="1" ht="17.25">
      <c r="A18" s="1"/>
      <c r="B18" s="44" t="s">
        <v>41</v>
      </c>
      <c r="C18" s="28" t="s">
        <v>42</v>
      </c>
      <c r="D18" s="45">
        <v>1.1873842592592592</v>
      </c>
      <c r="E18" s="46" t="s">
        <v>43</v>
      </c>
      <c r="F18" s="46"/>
      <c r="G18" s="42" t="s">
        <v>44</v>
      </c>
      <c r="H18" s="47" t="s">
        <v>11</v>
      </c>
      <c r="I18" s="8"/>
    </row>
    <row x14ac:dyDescent="0.25" r="19" customHeight="1" ht="17.25">
      <c r="A19" s="1"/>
      <c r="B19" s="48" t="s">
        <v>45</v>
      </c>
      <c r="C19" s="28" t="s">
        <v>46</v>
      </c>
      <c r="D19" s="45">
        <v>1.1943287037037038</v>
      </c>
      <c r="E19" s="46" t="s">
        <v>15</v>
      </c>
      <c r="F19" s="46"/>
      <c r="G19" s="42" t="s">
        <v>47</v>
      </c>
      <c r="H19" s="47" t="s">
        <v>12</v>
      </c>
      <c r="I19" s="8"/>
    </row>
    <row x14ac:dyDescent="0.25" r="20" customHeight="1" ht="17.25">
      <c r="A20" s="1"/>
      <c r="B20" s="48" t="s">
        <v>48</v>
      </c>
      <c r="C20" s="28" t="s">
        <v>49</v>
      </c>
      <c r="D20" s="45">
        <v>1.2012731481481482</v>
      </c>
      <c r="E20" s="46" t="s">
        <v>17</v>
      </c>
      <c r="F20" s="46"/>
      <c r="G20" s="42" t="s">
        <v>50</v>
      </c>
      <c r="H20" s="47" t="s">
        <v>12</v>
      </c>
      <c r="I20" s="8"/>
    </row>
    <row x14ac:dyDescent="0.25" r="21" customHeight="1" ht="17.25">
      <c r="A21" s="1"/>
      <c r="B21" s="48" t="s">
        <v>51</v>
      </c>
      <c r="C21" s="28" t="s">
        <v>52</v>
      </c>
      <c r="D21" s="45">
        <v>1.2082175925925926</v>
      </c>
      <c r="E21" s="46" t="s">
        <v>19</v>
      </c>
      <c r="F21" s="46"/>
      <c r="G21" s="49"/>
      <c r="H21" s="47" t="s">
        <v>12</v>
      </c>
      <c r="I21" s="8"/>
    </row>
    <row x14ac:dyDescent="0.25" r="22" customHeight="1" ht="17.25">
      <c r="A22" s="1"/>
      <c r="B22" s="48" t="s">
        <v>53</v>
      </c>
      <c r="C22" s="28" t="s">
        <v>54</v>
      </c>
      <c r="D22" s="45">
        <v>1.215162037037037</v>
      </c>
      <c r="E22" s="46" t="s">
        <v>22</v>
      </c>
      <c r="F22" s="46"/>
      <c r="G22" s="42" t="s">
        <v>55</v>
      </c>
      <c r="H22" s="47" t="s">
        <v>12</v>
      </c>
      <c r="I22" s="8"/>
    </row>
    <row x14ac:dyDescent="0.25" r="23" customHeight="1" ht="17.25">
      <c r="A23" s="1"/>
      <c r="B23" s="50" t="s">
        <v>56</v>
      </c>
      <c r="C23" s="28" t="s">
        <v>57</v>
      </c>
      <c r="D23" s="45">
        <v>1.2221064814814815</v>
      </c>
      <c r="E23" s="46" t="s">
        <v>58</v>
      </c>
      <c r="F23" s="46"/>
      <c r="G23" s="49"/>
      <c r="H23" s="47" t="s">
        <v>13</v>
      </c>
      <c r="I23" s="8"/>
    </row>
    <row x14ac:dyDescent="0.25" r="24" customHeight="1" ht="17.25">
      <c r="A24" s="1"/>
      <c r="B24" s="50" t="s">
        <v>59</v>
      </c>
      <c r="C24" s="28" t="s">
        <v>60</v>
      </c>
      <c r="D24" s="45">
        <v>1.229050925925926</v>
      </c>
      <c r="E24" s="46" t="s">
        <v>61</v>
      </c>
      <c r="F24" s="46"/>
      <c r="G24" s="49"/>
      <c r="H24" s="47" t="s">
        <v>13</v>
      </c>
      <c r="I24" s="8"/>
    </row>
    <row x14ac:dyDescent="0.25" r="25" customHeight="1" ht="17.25">
      <c r="A25" s="1"/>
      <c r="B25" s="51" t="s">
        <v>62</v>
      </c>
      <c r="C25" s="28" t="s">
        <v>63</v>
      </c>
      <c r="D25" s="45">
        <v>1.2359953703703703</v>
      </c>
      <c r="E25" s="46" t="s">
        <v>64</v>
      </c>
      <c r="F25" s="46"/>
      <c r="G25" s="42" t="s">
        <v>65</v>
      </c>
      <c r="H25" s="47" t="s">
        <v>14</v>
      </c>
      <c r="I25" s="8"/>
    </row>
    <row x14ac:dyDescent="0.25" r="26" customHeight="1" ht="17.25">
      <c r="A26" s="1"/>
      <c r="B26" s="52" t="s">
        <v>66</v>
      </c>
      <c r="C26" s="28" t="s">
        <v>67</v>
      </c>
      <c r="D26" s="53">
        <v>1.2429398148148147</v>
      </c>
      <c r="E26" s="54" t="s">
        <v>68</v>
      </c>
      <c r="F26" s="54"/>
      <c r="G26" s="42" t="s">
        <v>44</v>
      </c>
      <c r="H26" s="55" t="s">
        <v>14</v>
      </c>
      <c r="I26" s="8"/>
    </row>
    <row x14ac:dyDescent="0.25" r="27" customHeight="1" ht="17.25">
      <c r="A27" s="1"/>
      <c r="B27" s="9"/>
      <c r="C27" s="10"/>
      <c r="D27" s="11"/>
      <c r="E27" s="8"/>
      <c r="F27" s="8"/>
      <c r="G27" s="8"/>
      <c r="H27" s="8"/>
      <c r="I27" s="8"/>
    </row>
    <row x14ac:dyDescent="0.25" r="28" customHeight="1" ht="17.25">
      <c r="A28" s="1"/>
      <c r="B28" s="9"/>
      <c r="C28" s="10"/>
      <c r="D28" s="11"/>
      <c r="E28" s="8"/>
      <c r="F28" s="8"/>
      <c r="G28" s="8"/>
      <c r="H28" s="8"/>
      <c r="I28" s="8"/>
    </row>
    <row x14ac:dyDescent="0.25" r="29" customHeight="1" ht="17.25">
      <c r="A29" s="1"/>
      <c r="B29" s="56"/>
      <c r="C29" s="57" t="s">
        <v>69</v>
      </c>
      <c r="D29" s="58"/>
      <c r="E29" s="59"/>
      <c r="F29" s="59"/>
      <c r="G29" s="59"/>
      <c r="H29" s="59"/>
      <c r="I29" s="60"/>
    </row>
    <row x14ac:dyDescent="0.25" r="30" customHeight="1" ht="17.25">
      <c r="A30" s="1"/>
      <c r="B30" s="61"/>
      <c r="C30" s="62" t="s">
        <v>70</v>
      </c>
      <c r="D30" s="63"/>
      <c r="E30" s="64"/>
      <c r="F30" s="64"/>
      <c r="G30" s="64"/>
      <c r="H30" s="64"/>
      <c r="I30" s="65"/>
    </row>
  </sheetData>
  <mergeCells count="2">
    <mergeCell ref="C29:I29"/>
    <mergeCell ref="C30:I3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Ratings - Boys</vt:lpstr>
      <vt:lpstr>Rating Girls</vt:lpstr>
      <vt:lpstr>Match Format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2025-07-27T19:03:27.837Z</dcterms:created>
  <dcterms:modified xsi:type="dcterms:W3CDTF">2025-07-27T19:03:27.837Z</dcterms:modified>
</cp:coreProperties>
</file>